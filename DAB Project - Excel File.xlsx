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Huzaifa Saqib\FAST\Semester 2\DAB\"/>
    </mc:Choice>
  </mc:AlternateContent>
  <xr:revisionPtr revIDLastSave="0" documentId="13_ncr:1_{EB30CCA1-4D71-4E6F-97F1-CBE0AEDA2645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Final Sheet" sheetId="1" r:id="rId1"/>
    <sheet name="Trade%GDP" sheetId="2" r:id="rId2"/>
    <sheet name="Electricity Consumption" sheetId="3" r:id="rId3"/>
    <sheet name="GDP per capita" sheetId="4" r:id="rId4"/>
    <sheet name="FDI%GDP" sheetId="5" r:id="rId5"/>
    <sheet name="Mobile Subscriptions" sheetId="6" r:id="rId6"/>
    <sheet name="Rich vs Poor Countries" sheetId="7" r:id="rId7"/>
    <sheet name="Histograms" sheetId="8" r:id="rId8"/>
    <sheet name="Scatterplots" sheetId="9" r:id="rId9"/>
    <sheet name="Bar Graph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YGMXxau+MDDssLEvrm2QPtO/G6alRXIoxQIuyrpuIR8="/>
    </ext>
  </extLst>
</workbook>
</file>

<file path=xl/calcChain.xml><?xml version="1.0" encoding="utf-8"?>
<calcChain xmlns="http://schemas.openxmlformats.org/spreadsheetml/2006/main">
  <c r="G6" i="10" l="1"/>
  <c r="G5" i="10"/>
  <c r="G4" i="10"/>
  <c r="U126" i="1"/>
  <c r="C126" i="1"/>
  <c r="U125" i="1"/>
  <c r="C125" i="1"/>
  <c r="U124" i="1"/>
  <c r="C124" i="1"/>
  <c r="U123" i="1"/>
  <c r="C123" i="1"/>
  <c r="U122" i="1"/>
  <c r="C122" i="1"/>
  <c r="U121" i="1"/>
  <c r="C121" i="1"/>
  <c r="U120" i="1"/>
  <c r="C120" i="1"/>
  <c r="U119" i="1"/>
  <c r="C119" i="1"/>
  <c r="U118" i="1"/>
  <c r="C118" i="1"/>
  <c r="U117" i="1"/>
  <c r="C117" i="1"/>
  <c r="U116" i="1"/>
  <c r="C116" i="1"/>
  <c r="U115" i="1"/>
  <c r="C115" i="1"/>
  <c r="U114" i="1"/>
  <c r="C114" i="1"/>
  <c r="U113" i="1"/>
  <c r="C113" i="1"/>
  <c r="U112" i="1"/>
  <c r="C112" i="1"/>
  <c r="U111" i="1"/>
  <c r="C111" i="1"/>
  <c r="U110" i="1"/>
  <c r="C110" i="1"/>
  <c r="U109" i="1"/>
  <c r="C109" i="1"/>
  <c r="U108" i="1"/>
  <c r="C108" i="1"/>
  <c r="U107" i="1"/>
  <c r="C107" i="1"/>
  <c r="U106" i="1"/>
  <c r="C106" i="1"/>
  <c r="U105" i="1"/>
  <c r="C105" i="1"/>
  <c r="U104" i="1"/>
  <c r="C104" i="1"/>
  <c r="U103" i="1"/>
  <c r="C103" i="1"/>
  <c r="U102" i="1"/>
  <c r="C102" i="1"/>
  <c r="U101" i="1"/>
  <c r="C101" i="1"/>
  <c r="U100" i="1"/>
  <c r="C100" i="1"/>
  <c r="U99" i="1"/>
  <c r="C99" i="1"/>
  <c r="U98" i="1"/>
  <c r="C98" i="1"/>
  <c r="U97" i="1"/>
  <c r="C97" i="1"/>
  <c r="U96" i="1"/>
  <c r="C96" i="1"/>
  <c r="U95" i="1"/>
  <c r="C95" i="1"/>
  <c r="U94" i="1"/>
  <c r="C94" i="1"/>
  <c r="U93" i="1"/>
  <c r="C93" i="1"/>
  <c r="U92" i="1"/>
  <c r="C92" i="1"/>
  <c r="U91" i="1"/>
  <c r="C91" i="1"/>
  <c r="U90" i="1"/>
  <c r="C90" i="1"/>
  <c r="U89" i="1"/>
  <c r="C89" i="1"/>
  <c r="U88" i="1"/>
  <c r="C88" i="1"/>
  <c r="U87" i="1"/>
  <c r="C87" i="1"/>
  <c r="U86" i="1"/>
  <c r="C86" i="1"/>
  <c r="U85" i="1"/>
  <c r="C85" i="1"/>
  <c r="U84" i="1"/>
  <c r="C84" i="1"/>
  <c r="U83" i="1"/>
  <c r="C83" i="1"/>
  <c r="U82" i="1"/>
  <c r="C82" i="1"/>
  <c r="U81" i="1"/>
  <c r="C81" i="1"/>
  <c r="U80" i="1"/>
  <c r="C80" i="1"/>
  <c r="U79" i="1"/>
  <c r="C79" i="1"/>
  <c r="U78" i="1"/>
  <c r="C78" i="1"/>
  <c r="U77" i="1"/>
  <c r="C77" i="1"/>
  <c r="U76" i="1"/>
  <c r="C76" i="1"/>
  <c r="U75" i="1"/>
  <c r="C75" i="1"/>
  <c r="U74" i="1"/>
  <c r="C74" i="1"/>
  <c r="U73" i="1"/>
  <c r="C73" i="1"/>
  <c r="U72" i="1"/>
  <c r="C72" i="1"/>
  <c r="U71" i="1"/>
  <c r="C71" i="1"/>
  <c r="U70" i="1"/>
  <c r="C70" i="1"/>
  <c r="U69" i="1"/>
  <c r="C69" i="1"/>
  <c r="U68" i="1"/>
  <c r="C68" i="1"/>
  <c r="U67" i="1"/>
  <c r="C67" i="1"/>
  <c r="U66" i="1"/>
  <c r="C66" i="1"/>
  <c r="U65" i="1"/>
  <c r="C65" i="1"/>
  <c r="U64" i="1"/>
  <c r="C64" i="1"/>
  <c r="U63" i="1"/>
  <c r="C63" i="1"/>
  <c r="U62" i="1"/>
  <c r="C62" i="1"/>
  <c r="U61" i="1"/>
  <c r="C61" i="1"/>
  <c r="U60" i="1"/>
  <c r="C60" i="1"/>
  <c r="U59" i="1"/>
  <c r="C59" i="1"/>
  <c r="U58" i="1"/>
  <c r="C58" i="1"/>
  <c r="U57" i="1"/>
  <c r="C57" i="1"/>
  <c r="U56" i="1"/>
  <c r="C56" i="1"/>
  <c r="U55" i="1"/>
  <c r="C55" i="1"/>
  <c r="U54" i="1"/>
  <c r="C54" i="1"/>
  <c r="U53" i="1"/>
  <c r="C53" i="1"/>
  <c r="U52" i="1"/>
  <c r="C52" i="1"/>
  <c r="U51" i="1"/>
  <c r="C51" i="1"/>
  <c r="U50" i="1"/>
  <c r="C50" i="1"/>
  <c r="U49" i="1"/>
  <c r="C49" i="1"/>
  <c r="U48" i="1"/>
  <c r="C48" i="1"/>
  <c r="U47" i="1"/>
  <c r="C47" i="1"/>
  <c r="U46" i="1"/>
  <c r="C46" i="1"/>
  <c r="U45" i="1"/>
  <c r="C45" i="1"/>
  <c r="U44" i="1"/>
  <c r="C44" i="1"/>
  <c r="U43" i="1"/>
  <c r="C43" i="1"/>
  <c r="U42" i="1"/>
  <c r="C42" i="1"/>
  <c r="U41" i="1"/>
  <c r="C41" i="1"/>
  <c r="U40" i="1"/>
  <c r="C40" i="1"/>
  <c r="U39" i="1"/>
  <c r="C39" i="1"/>
  <c r="U38" i="1"/>
  <c r="C38" i="1"/>
  <c r="U37" i="1"/>
  <c r="C37" i="1"/>
  <c r="U36" i="1"/>
  <c r="C36" i="1"/>
  <c r="U35" i="1"/>
  <c r="C35" i="1"/>
  <c r="U34" i="1"/>
  <c r="C34" i="1"/>
  <c r="U33" i="1"/>
  <c r="C33" i="1"/>
  <c r="U32" i="1"/>
  <c r="C32" i="1"/>
  <c r="U31" i="1"/>
  <c r="C31" i="1"/>
  <c r="U30" i="1"/>
  <c r="C30" i="1"/>
  <c r="U29" i="1"/>
  <c r="C29" i="1"/>
  <c r="U28" i="1"/>
  <c r="C28" i="1"/>
  <c r="U27" i="1"/>
  <c r="C27" i="1"/>
  <c r="U26" i="1"/>
  <c r="C26" i="1"/>
  <c r="U25" i="1"/>
  <c r="C25" i="1"/>
  <c r="U24" i="1"/>
  <c r="C24" i="1"/>
  <c r="U23" i="1"/>
  <c r="C23" i="1"/>
  <c r="U22" i="1"/>
  <c r="C22" i="1"/>
  <c r="U21" i="1"/>
  <c r="C21" i="1"/>
  <c r="U20" i="1"/>
  <c r="C20" i="1"/>
  <c r="U19" i="1"/>
  <c r="C19" i="1"/>
  <c r="U18" i="1"/>
  <c r="C18" i="1"/>
  <c r="U17" i="1"/>
  <c r="C17" i="1"/>
  <c r="U16" i="1"/>
  <c r="C16" i="1"/>
  <c r="U15" i="1"/>
  <c r="C15" i="1"/>
  <c r="U14" i="1"/>
  <c r="C14" i="1"/>
  <c r="U13" i="1"/>
  <c r="C13" i="1"/>
  <c r="U12" i="1"/>
  <c r="C12" i="1"/>
  <c r="U11" i="1"/>
  <c r="C11" i="1"/>
  <c r="U10" i="1"/>
  <c r="C10" i="1"/>
  <c r="U9" i="1"/>
  <c r="C9" i="1"/>
  <c r="U8" i="1"/>
  <c r="C8" i="1"/>
  <c r="U7" i="1"/>
  <c r="C7" i="1"/>
  <c r="U6" i="1"/>
  <c r="C6" i="1"/>
  <c r="U5" i="1"/>
  <c r="C5" i="1"/>
  <c r="U4" i="1"/>
  <c r="C4" i="1"/>
  <c r="U3" i="1"/>
  <c r="C3" i="1"/>
  <c r="U2" i="1"/>
  <c r="C2" i="1"/>
</calcChain>
</file>

<file path=xl/sharedStrings.xml><?xml version="1.0" encoding="utf-8"?>
<sst xmlns="http://schemas.openxmlformats.org/spreadsheetml/2006/main" count="2836" uniqueCount="549">
  <si>
    <t>Country</t>
  </si>
  <si>
    <t>GDP per capita</t>
  </si>
  <si>
    <t>Log GDP</t>
  </si>
  <si>
    <t>Electricity Consumption</t>
  </si>
  <si>
    <t>Trade%GDP</t>
  </si>
  <si>
    <t>FDI%GDP</t>
  </si>
  <si>
    <t>Mobile Subscriptions</t>
  </si>
  <si>
    <t>Norway</t>
  </si>
  <si>
    <t>Ireland</t>
  </si>
  <si>
    <t>Switzerland</t>
  </si>
  <si>
    <t>Qatar</t>
  </si>
  <si>
    <t>United States</t>
  </si>
  <si>
    <t>Denmark</t>
  </si>
  <si>
    <t>Australia</t>
  </si>
  <si>
    <t>Netherlands</t>
  </si>
  <si>
    <t>Canada</t>
  </si>
  <si>
    <t>Israel</t>
  </si>
  <si>
    <t>Sweden</t>
  </si>
  <si>
    <t>Austria</t>
  </si>
  <si>
    <t>Belgium</t>
  </si>
  <si>
    <t>Germany</t>
  </si>
  <si>
    <t>Finland</t>
  </si>
  <si>
    <t>New Zealand</t>
  </si>
  <si>
    <t>United Kingdom</t>
  </si>
  <si>
    <t>France</t>
  </si>
  <si>
    <t>Kuwait</t>
  </si>
  <si>
    <t>Brunei Darussalam</t>
  </si>
  <si>
    <t>Madagascar</t>
  </si>
  <si>
    <t>Italy</t>
  </si>
  <si>
    <t>Korea, Rep.</t>
  </si>
  <si>
    <t>Japan</t>
  </si>
  <si>
    <t>Cyprus</t>
  </si>
  <si>
    <t>Bahrain</t>
  </si>
  <si>
    <t>Spain</t>
  </si>
  <si>
    <t>Slovenia</t>
  </si>
  <si>
    <t>Estonia</t>
  </si>
  <si>
    <t>Czechia</t>
  </si>
  <si>
    <t>Lithuania</t>
  </si>
  <si>
    <t>Portugal</t>
  </si>
  <si>
    <t>Oman</t>
  </si>
  <si>
    <t>Slovak Republic</t>
  </si>
  <si>
    <t>Greece</t>
  </si>
  <si>
    <t>Uruguay</t>
  </si>
  <si>
    <t>Latvia</t>
  </si>
  <si>
    <t>Poland</t>
  </si>
  <si>
    <t>Croatia</t>
  </si>
  <si>
    <t>Hungary</t>
  </si>
  <si>
    <t>Panama</t>
  </si>
  <si>
    <t>Russian Federation</t>
  </si>
  <si>
    <t>Romania</t>
  </si>
  <si>
    <t>Chile</t>
  </si>
  <si>
    <t>Bulgaria</t>
  </si>
  <si>
    <t>Argentina</t>
  </si>
  <si>
    <t>Costa Rica</t>
  </si>
  <si>
    <t>China</t>
  </si>
  <si>
    <t>Malaysia</t>
  </si>
  <si>
    <t>Mexico</t>
  </si>
  <si>
    <t>Kazakhstan</t>
  </si>
  <si>
    <t>Turkiye</t>
  </si>
  <si>
    <t>Mauritius</t>
  </si>
  <si>
    <t>Dominican Republic</t>
  </si>
  <si>
    <t>Serbia</t>
  </si>
  <si>
    <t>Montenegro</t>
  </si>
  <si>
    <t>Brazil</t>
  </si>
  <si>
    <t>Gabon</t>
  </si>
  <si>
    <t>Botswana</t>
  </si>
  <si>
    <t>Belarus</t>
  </si>
  <si>
    <t>Azerbaijan</t>
  </si>
  <si>
    <t>Albania</t>
  </si>
  <si>
    <t>Bosnia and Herzegovina</t>
  </si>
  <si>
    <t>North Macedonia</t>
  </si>
  <si>
    <t>Equatorial Guinea</t>
  </si>
  <si>
    <t>Peru</t>
  </si>
  <si>
    <t>Thailand</t>
  </si>
  <si>
    <t>Georgia</t>
  </si>
  <si>
    <t>Colombia</t>
  </si>
  <si>
    <t>Armenia</t>
  </si>
  <si>
    <t>Iraq</t>
  </si>
  <si>
    <t>Ecuador</t>
  </si>
  <si>
    <t>Paraguay</t>
  </si>
  <si>
    <t>Libya</t>
  </si>
  <si>
    <t>Moldova</t>
  </si>
  <si>
    <t>Guatemala</t>
  </si>
  <si>
    <t>El Salvador</t>
  </si>
  <si>
    <t>Mongolia</t>
  </si>
  <si>
    <t>Algeria</t>
  </si>
  <si>
    <t>Indonesia</t>
  </si>
  <si>
    <t>Iran, Islamic Rep.</t>
  </si>
  <si>
    <t>Namibia</t>
  </si>
  <si>
    <t>Jordan</t>
  </si>
  <si>
    <t>Bolivia</t>
  </si>
  <si>
    <t>Ukraine</t>
  </si>
  <si>
    <t>Viet Nam</t>
  </si>
  <si>
    <t>Eswatini</t>
  </si>
  <si>
    <t>Tunisia</t>
  </si>
  <si>
    <t>Angola</t>
  </si>
  <si>
    <t>Lebanon</t>
  </si>
  <si>
    <t>Philippines</t>
  </si>
  <si>
    <t>Morocco</t>
  </si>
  <si>
    <t>Sri Lanka</t>
  </si>
  <si>
    <t>Venezuela, RB</t>
  </si>
  <si>
    <t>Honduras</t>
  </si>
  <si>
    <t>Bangladesh</t>
  </si>
  <si>
    <t>Congo, Rep.</t>
  </si>
  <si>
    <t>Uzbekistan</t>
  </si>
  <si>
    <t>Zimbabwe</t>
  </si>
  <si>
    <t>India</t>
  </si>
  <si>
    <t>Cote d'Ivoire</t>
  </si>
  <si>
    <t>Cambodia</t>
  </si>
  <si>
    <t>Nicaragua</t>
  </si>
  <si>
    <t>Ghana</t>
  </si>
  <si>
    <t>Kenya</t>
  </si>
  <si>
    <t>Haiti</t>
  </si>
  <si>
    <t>Kyrgyz Republic</t>
  </si>
  <si>
    <t>Cameroon</t>
  </si>
  <si>
    <t>Senegal</t>
  </si>
  <si>
    <t>Pakistan</t>
  </si>
  <si>
    <t>Zambia</t>
  </si>
  <si>
    <t>Nepal</t>
  </si>
  <si>
    <t>Benin</t>
  </si>
  <si>
    <t>Tanzania</t>
  </si>
  <si>
    <t>Tajikistan</t>
  </si>
  <si>
    <t>Sudan</t>
  </si>
  <si>
    <t>Ethiopia</t>
  </si>
  <si>
    <t>Rwanda</t>
  </si>
  <si>
    <t>Chad</t>
  </si>
  <si>
    <t>Uganda</t>
  </si>
  <si>
    <t>Togo</t>
  </si>
  <si>
    <t>Burkina Faso</t>
  </si>
  <si>
    <t>Congo, Dem. Rep.</t>
  </si>
  <si>
    <t>Niger</t>
  </si>
  <si>
    <t>Mozambique</t>
  </si>
  <si>
    <t>Country Code</t>
  </si>
  <si>
    <t xml:space="preserve">Trade%GDP 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</si>
  <si>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</si>
  <si>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</si>
  <si>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</si>
  <si>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</si>
  <si>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</si>
  <si>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</si>
  <si>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</si>
  <si>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</si>
  <si>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AGO</t>
  </si>
  <si>
    <t>ALB</t>
  </si>
  <si>
    <t>Andorra</t>
  </si>
  <si>
    <t>AND</t>
  </si>
  <si>
    <t>Arab World</t>
  </si>
  <si>
    <t>ARB</t>
  </si>
  <si>
    <t>United Arab Emirates</t>
  </si>
  <si>
    <t>ARE</t>
  </si>
  <si>
    <t>ARG</t>
  </si>
  <si>
    <t>ARM</t>
  </si>
  <si>
    <t>American Samoa</t>
  </si>
  <si>
    <t>ASM</t>
  </si>
  <si>
    <t>Antigua and Barbuda</t>
  </si>
  <si>
    <t>ATG</t>
  </si>
  <si>
    <t>AUS</t>
  </si>
  <si>
    <t>AUT</t>
  </si>
  <si>
    <t>AZE</t>
  </si>
  <si>
    <t>Burundi</t>
  </si>
  <si>
    <t>BDI</t>
  </si>
  <si>
    <t>BEL</t>
  </si>
  <si>
    <t>BEN</t>
  </si>
  <si>
    <t>BFA</t>
  </si>
  <si>
    <t>BGD</t>
  </si>
  <si>
    <t>BGR</t>
  </si>
  <si>
    <t>BHR</t>
  </si>
  <si>
    <t>Bahamas, The</t>
  </si>
  <si>
    <t>BHS</t>
  </si>
  <si>
    <t>BIH</t>
  </si>
  <si>
    <t>BLR</t>
  </si>
  <si>
    <t>Belize</t>
  </si>
  <si>
    <t>BLZ</t>
  </si>
  <si>
    <t>Bermuda</t>
  </si>
  <si>
    <t>BMU</t>
  </si>
  <si>
    <t>BOL</t>
  </si>
  <si>
    <t>BRA</t>
  </si>
  <si>
    <t>Barbados</t>
  </si>
  <si>
    <t>BRB</t>
  </si>
  <si>
    <t>BRN</t>
  </si>
  <si>
    <t>Bhutan</t>
  </si>
  <si>
    <t>BTN</t>
  </si>
  <si>
    <t>BWA</t>
  </si>
  <si>
    <t>Central African Republic</t>
  </si>
  <si>
    <t>CAF</t>
  </si>
  <si>
    <t>CAN</t>
  </si>
  <si>
    <t>Central Europe and the Baltics</t>
  </si>
  <si>
    <t>CEB</t>
  </si>
  <si>
    <t>CHE</t>
  </si>
  <si>
    <t>Channel Islands</t>
  </si>
  <si>
    <t>CHI</t>
  </si>
  <si>
    <t>CHL</t>
  </si>
  <si>
    <t>CHN</t>
  </si>
  <si>
    <t>CIV</t>
  </si>
  <si>
    <t>CMR</t>
  </si>
  <si>
    <t>COD</t>
  </si>
  <si>
    <t>COG</t>
  </si>
  <si>
    <t>COL</t>
  </si>
  <si>
    <t>Comoros</t>
  </si>
  <si>
    <t>COM</t>
  </si>
  <si>
    <t>Cabo Verde</t>
  </si>
  <si>
    <t>CPV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</si>
  <si>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</si>
  <si>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</si>
  <si>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</si>
  <si>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</si>
  <si>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</si>
  <si>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</si>
  <si>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</si>
  <si>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</si>
  <si>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</si>
  <si>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</t>
  </si>
  <si>
    <t>CZE</t>
  </si>
  <si>
    <t>DEU</t>
  </si>
  <si>
    <t>Djibouti</t>
  </si>
  <si>
    <t>DJI</t>
  </si>
  <si>
    <t>Dominica</t>
  </si>
  <si>
    <t>DMA</t>
  </si>
  <si>
    <t>DNK</t>
  </si>
  <si>
    <t>DOM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</si>
  <si>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</si>
  <si>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</si>
  <si>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</si>
  <si>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</si>
  <si>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</si>
  <si>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</si>
  <si>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</si>
  <si>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</si>
  <si>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</si>
  <si>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</si>
  <si>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</si>
  <si>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</t>
  </si>
  <si>
    <t>Egypt, Arab Rep.</t>
  </si>
  <si>
    <t>EGY</t>
  </si>
  <si>
    <t>Euro area</t>
  </si>
  <si>
    <t>EMU</t>
  </si>
  <si>
    <t>Eritrea</t>
  </si>
  <si>
    <t>ERI</t>
  </si>
  <si>
    <t>ESP</t>
  </si>
  <si>
    <t>EST</t>
  </si>
  <si>
    <t>ETH</t>
  </si>
  <si>
    <t>European Union</t>
  </si>
  <si>
    <t>EUU</t>
  </si>
  <si>
    <t>Fragile and conflict affected situations</t>
  </si>
  <si>
    <t>FCS</t>
  </si>
  <si>
    <t>FIN</t>
  </si>
  <si>
    <t>Fiji</t>
  </si>
  <si>
    <t>FJI</t>
  </si>
  <si>
    <t>FRA</t>
  </si>
  <si>
    <t>Faroe Islands</t>
  </si>
  <si>
    <t>FRO</t>
  </si>
  <si>
    <t>Micronesia, Fed. Sts.</t>
  </si>
  <si>
    <t>FSM</t>
  </si>
  <si>
    <t>GAB</t>
  </si>
  <si>
    <t>GBR</t>
  </si>
  <si>
    <t>GEO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</si>
  <si>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</si>
  <si>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</si>
  <si>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</si>
  <si>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</si>
  <si>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</si>
  <si>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</si>
  <si>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</si>
  <si>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</si>
  <si>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</si>
  <si>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GNQ</t>
  </si>
  <si>
    <t>GRC</t>
  </si>
  <si>
    <t>Grenada</t>
  </si>
  <si>
    <t>GRD</t>
  </si>
  <si>
    <t>Greenland</t>
  </si>
  <si>
    <t>GRL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</si>
  <si>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</si>
  <si>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</si>
  <si>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</si>
  <si>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</si>
  <si>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</si>
  <si>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</si>
  <si>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</si>
  <si>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</si>
  <si>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</si>
  <si>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HND</t>
  </si>
  <si>
    <t>Heavily indebted poor countries (HIPC)</t>
  </si>
  <si>
    <t>HPC</t>
  </si>
  <si>
    <t>HRV</t>
  </si>
  <si>
    <t>HTI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</si>
  <si>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</si>
  <si>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</si>
  <si>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</si>
  <si>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</si>
  <si>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</si>
  <si>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</si>
  <si>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</si>
  <si>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</si>
  <si>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</si>
  <si>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IDN</t>
  </si>
  <si>
    <t>IDA only</t>
  </si>
  <si>
    <t>IDX</t>
  </si>
  <si>
    <t>Isle of Man</t>
  </si>
  <si>
    <t>IMN</t>
  </si>
  <si>
    <t>IND</t>
  </si>
  <si>
    <t>Not classified</t>
  </si>
  <si>
    <t>INX</t>
  </si>
  <si>
    <t>IRL</t>
  </si>
  <si>
    <t>IRN</t>
  </si>
  <si>
    <t>IRQ</t>
  </si>
  <si>
    <t>Iceland</t>
  </si>
  <si>
    <t>ISL</t>
  </si>
  <si>
    <t>ISR</t>
  </si>
  <si>
    <t>ITA</t>
  </si>
  <si>
    <t>Jamaica</t>
  </si>
  <si>
    <t>JAM</t>
  </si>
  <si>
    <t>JOR</t>
  </si>
  <si>
    <t>JPN</t>
  </si>
  <si>
    <t>KAZ</t>
  </si>
  <si>
    <t>KEN</t>
  </si>
  <si>
    <t>KGZ</t>
  </si>
  <si>
    <t>KHM</t>
  </si>
  <si>
    <t>Kiribati</t>
  </si>
  <si>
    <t>KIR</t>
  </si>
  <si>
    <t>St. Kitts and Nevis</t>
  </si>
  <si>
    <t>KNA</t>
  </si>
  <si>
    <t>KOR</t>
  </si>
  <si>
    <t>KWT</t>
  </si>
  <si>
    <t>Latin America &amp; Caribbean (excluding high income)</t>
  </si>
  <si>
    <t>LAC</t>
  </si>
  <si>
    <t>Lao PDR</t>
  </si>
  <si>
    <t>LAO</t>
  </si>
  <si>
    <t>LBN</t>
  </si>
  <si>
    <t>Liberia</t>
  </si>
  <si>
    <t>LBR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</si>
  <si>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</si>
  <si>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</si>
  <si>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</si>
  <si>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</si>
  <si>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</si>
  <si>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</si>
  <si>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</si>
  <si>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</si>
  <si>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</si>
  <si>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</si>
  <si>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</si>
  <si>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</si>
  <si>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</si>
  <si>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</si>
  <si>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</si>
  <si>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</si>
  <si>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</si>
  <si>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</si>
  <si>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</si>
  <si>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</si>
  <si>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LTU</t>
  </si>
  <si>
    <t>Luxembourg</t>
  </si>
  <si>
    <t>LUX</t>
  </si>
  <si>
    <t>LVA</t>
  </si>
  <si>
    <t>Macao SAR, China</t>
  </si>
  <si>
    <t>MAC</t>
  </si>
  <si>
    <t>St. Martin (French part)</t>
  </si>
  <si>
    <t>MAF</t>
  </si>
  <si>
    <t>MAR</t>
  </si>
  <si>
    <t>Monaco</t>
  </si>
  <si>
    <t>MCO</t>
  </si>
  <si>
    <t>MDA</t>
  </si>
  <si>
    <t>MDG</t>
  </si>
  <si>
    <t>Maldives</t>
  </si>
  <si>
    <t>MDV</t>
  </si>
  <si>
    <t>Middle East, North Africa, Afghanistan &amp; Pakistan</t>
  </si>
  <si>
    <t>MEA</t>
  </si>
  <si>
    <t>MEX</t>
  </si>
  <si>
    <t>Marshall Islands</t>
  </si>
  <si>
    <t>MHL</t>
  </si>
  <si>
    <t>Middle income</t>
  </si>
  <si>
    <t>MIC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</si>
  <si>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</si>
  <si>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</si>
  <si>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</si>
  <si>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</si>
  <si>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</si>
  <si>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</si>
  <si>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</si>
  <si>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</si>
  <si>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</si>
  <si>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MNE</t>
  </si>
  <si>
    <t>MNG</t>
  </si>
  <si>
    <t>Northern Mariana Islands</t>
  </si>
  <si>
    <t>MNP</t>
  </si>
  <si>
    <t>MOZ</t>
  </si>
  <si>
    <t>Mauritania</t>
  </si>
  <si>
    <t>MRT</t>
  </si>
  <si>
    <t>MUS</t>
  </si>
  <si>
    <t>Malawi</t>
  </si>
  <si>
    <t>MWI</t>
  </si>
  <si>
    <t>MYS</t>
  </si>
  <si>
    <t>North America</t>
  </si>
  <si>
    <t>NAC</t>
  </si>
  <si>
    <t>NAM</t>
  </si>
  <si>
    <t>New Caledonia</t>
  </si>
  <si>
    <t>NCL</t>
  </si>
  <si>
    <t>NER</t>
  </si>
  <si>
    <t>Nigeria</t>
  </si>
  <si>
    <t>NGA</t>
  </si>
  <si>
    <t>NIC</t>
  </si>
  <si>
    <t>NLD</t>
  </si>
  <si>
    <t>NOR</t>
  </si>
  <si>
    <t>NPL</t>
  </si>
  <si>
    <t>Nauru</t>
  </si>
  <si>
    <t>NRU</t>
  </si>
  <si>
    <t>NZL</t>
  </si>
  <si>
    <t>OECD members</t>
  </si>
  <si>
    <t>OED</t>
  </si>
  <si>
    <t>OMN</t>
  </si>
  <si>
    <t>Other small states</t>
  </si>
  <si>
    <t>OSS</t>
  </si>
  <si>
    <t>PAK</t>
  </si>
  <si>
    <t>PAN</t>
  </si>
  <si>
    <t>PER</t>
  </si>
  <si>
    <t>PHL</t>
  </si>
  <si>
    <t>Palau</t>
  </si>
  <si>
    <t>PLW</t>
  </si>
  <si>
    <t>Papua New Guinea</t>
  </si>
  <si>
    <t>PNG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</si>
  <si>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</si>
  <si>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</si>
  <si>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</si>
  <si>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</si>
  <si>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</si>
  <si>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</si>
  <si>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</si>
  <si>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PRT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</si>
  <si>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</si>
  <si>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</si>
  <si>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</si>
  <si>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</si>
  <si>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</si>
  <si>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</si>
  <si>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</si>
  <si>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</si>
  <si>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</si>
  <si>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</t>
  </si>
  <si>
    <t>ROU</t>
  </si>
  <si>
    <t>RUS</t>
  </si>
  <si>
    <t>RWA</t>
  </si>
  <si>
    <t>South Asia</t>
  </si>
  <si>
    <t>SAS</t>
  </si>
  <si>
    <t>Saudi Arabia</t>
  </si>
  <si>
    <t>SAU</t>
  </si>
  <si>
    <t>SDN</t>
  </si>
  <si>
    <t>SEN</t>
  </si>
  <si>
    <t>Singapore</t>
  </si>
  <si>
    <t>SGP</t>
  </si>
  <si>
    <t>Solomon Islands</t>
  </si>
  <si>
    <t>SLB</t>
  </si>
  <si>
    <t>Sierra Leone</t>
  </si>
  <si>
    <t>SLE</t>
  </si>
  <si>
    <t>SLV</t>
  </si>
  <si>
    <t>San Marino</t>
  </si>
  <si>
    <t>SMR</t>
  </si>
  <si>
    <t>Somalia, Fed. Rep.</t>
  </si>
  <si>
    <t>SOM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</si>
  <si>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</si>
  <si>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</si>
  <si>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</si>
  <si>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</si>
  <si>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</si>
  <si>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</si>
  <si>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</si>
  <si>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</si>
  <si>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</si>
  <si>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</si>
  <si>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</si>
  <si>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</si>
  <si>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</si>
  <si>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SVK</t>
  </si>
  <si>
    <t>SVN</t>
  </si>
  <si>
    <t>SWE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</si>
  <si>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</si>
  <si>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</si>
  <si>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</si>
  <si>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</si>
  <si>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</si>
  <si>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</si>
  <si>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</si>
  <si>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</si>
  <si>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</si>
  <si>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TCD</t>
  </si>
  <si>
    <t>East Asia &amp; Pacific (IDA &amp; IBRD countries)</t>
  </si>
  <si>
    <t>TEA</t>
  </si>
  <si>
    <t>Europe &amp; Central Asia (IDA &amp; IBRD countries)</t>
  </si>
  <si>
    <t>TEC</t>
  </si>
  <si>
    <t>TGO</t>
  </si>
  <si>
    <t>THA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</si>
  <si>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</si>
  <si>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</si>
  <si>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</si>
  <si>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</si>
  <si>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</si>
  <si>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</si>
  <si>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</si>
  <si>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</si>
  <si>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</si>
  <si>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</si>
  <si>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</si>
  <si>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</si>
  <si>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</si>
  <si>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</si>
  <si>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</si>
  <si>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</si>
  <si>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</si>
  <si>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</t>
  </si>
  <si>
    <t>TUR</t>
  </si>
  <si>
    <t>Tuvalu</t>
  </si>
  <si>
    <t>TUV</t>
  </si>
  <si>
    <t>TZA</t>
  </si>
  <si>
    <t>UGA</t>
  </si>
  <si>
    <t>UKR</t>
  </si>
  <si>
    <t>Upper middle income</t>
  </si>
  <si>
    <t>UMC</t>
  </si>
  <si>
    <t>URY</t>
  </si>
  <si>
    <t>USA</t>
  </si>
  <si>
    <t>UZB</t>
  </si>
  <si>
    <t>St. Vincent and the Grenadines</t>
  </si>
  <si>
    <t>VCT</t>
  </si>
  <si>
    <t>VEN</t>
  </si>
  <si>
    <t>British Virgin Islands</t>
  </si>
  <si>
    <t>VGB</t>
  </si>
  <si>
    <t>Virgin Islands (U.S.)</t>
  </si>
  <si>
    <t>VIR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</si>
  <si>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</si>
  <si>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</si>
  <si>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</si>
  <si>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</si>
  <si>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</si>
  <si>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</si>
  <si>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</si>
  <si>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</si>
  <si>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</si>
  <si>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</si>
  <si>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</si>
  <si>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</si>
  <si>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</si>
  <si>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ZMB</t>
  </si>
  <si>
    <t>ZWE</t>
  </si>
  <si>
    <t xml:space="preserve">GDP per capita </t>
  </si>
  <si>
    <t>..</t>
  </si>
  <si>
    <t>GDP per Capita</t>
  </si>
  <si>
    <t>Trade Group</t>
  </si>
  <si>
    <t>Average GDP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</si>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</sst>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>
    <font>
      <sz val="11"/>
      <color theme="1"/>
      <name val="Aptos Narrow"/>
      <scheme val="minor"/>
    </font>
    <font>
      <b/>
      <sz val="14"/>
      <color theme="1"/>
      <name val="Montserrat"/>
    </font>
    <font>
      <b/>
      <sz val="14"/>
      <color theme="1"/>
      <name val="Aptos Narrow"/>
    </font>
    <font>
      <sz val="11"/>
      <color theme="1"/>
      <name val="Arial"/>
    </font>
    <font>
      <sz val="11"/>
      <color theme="1"/>
      <name val="Montserrat"/>
    </font>
    <font>
      <b/>
      <sz val="16"/>
      <color rgb="FF0E2841"/>
      <name val="Montserrat"/>
    </font>
    <font>
      <b/>
      <sz val="16"/>
      <color rgb="FF0E2841"/>
      <name val="Aptos Narrow"/>
    </font>
    <font>
      <sz val="11"/>
      <color theme="1"/>
      <name val="Aptos Narrow"/>
    </font>
    <font>
      <b/>
      <sz val="16"/>
      <color theme="1"/>
      <name val="Montserrat"/>
    </font>
    <font>
      <sz val="16"/>
      <color theme="1"/>
      <name val="Montserrat"/>
    </font>
    <font>
      <sz val="11"/>
      <color rgb="FF000000"/>
      <name val="Montserrat"/>
    </font>
    <font>
      <b/>
      <sz val="14"/>
      <color theme="1"/>
      <name val="Arial"/>
    </font>
    <font>
      <sz val="11"/>
      <color rgb="FF000000"/>
      <name val="&quot;Aptos Narrow&quot;"/>
    </font>
    <font>
      <sz val="11"/>
      <color theme="1"/>
      <name val="Arial"/>
    </font>
    <font>
      <sz val="11"/>
      <color rgb="FF1F1F1F"/>
      <name val="Google Sans"/>
    </font>
    <font>
      <sz val="16"/>
      <color theme="1"/>
      <name val="Aptos Narrow"/>
    </font>
    <font>
      <sz val="12"/>
      <color theme="1"/>
      <name val="Aptos Narrow"/>
      <scheme val="minor"/>
    </font>
    <font>
      <sz val="12"/>
      <color theme="1"/>
      <name val="Montserra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5" fillId="0" borderId="1" xfId="0" applyFont="1" applyBorder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1" fillId="0" borderId="0" xfId="0" applyFont="1"/>
    <xf numFmtId="0" fontId="12" fillId="0" borderId="1" xfId="0" applyFont="1" applyBorder="1"/>
    <xf numFmtId="164" fontId="12" fillId="0" borderId="1" xfId="0" applyNumberFormat="1" applyFont="1" applyBorder="1"/>
    <xf numFmtId="0" fontId="12" fillId="0" borderId="1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10" fontId="12" fillId="0" borderId="1" xfId="0" applyNumberFormat="1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Electricity Consumption vs GDP per Capita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Sheet'!$C$1</c:f>
              <c:strCache>
                <c:ptCount val="1"/>
                <c:pt idx="0">
                  <c:v>Log GDP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20338535202479541"/>
                  <c:y val="0.2919391499236399"/>
                </c:manualLayout>
              </c:layout>
              <c:numFmt formatCode="General" sourceLinked="0"/>
            </c:trendlineLbl>
          </c:trendline>
          <c:xVal>
            <c:numRef>
              <c:f>'Final Sheet'!$D$2:$D$126</c:f>
              <c:numCache>
                <c:formatCode>General</c:formatCode>
                <c:ptCount val="125"/>
                <c:pt idx="0">
                  <c:v>23373.47106</c:v>
                </c:pt>
                <c:pt idx="1">
                  <c:v>6107.0403900000001</c:v>
                </c:pt>
                <c:pt idx="2">
                  <c:v>7422.8491270000004</c:v>
                </c:pt>
                <c:pt idx="3">
                  <c:v>19381.086220000001</c:v>
                </c:pt>
                <c:pt idx="4">
                  <c:v>12968.16281</c:v>
                </c:pt>
                <c:pt idx="5">
                  <c:v>5847.1596909999998</c:v>
                </c:pt>
                <c:pt idx="6">
                  <c:v>9923.4316710000003</c:v>
                </c:pt>
                <c:pt idx="7">
                  <c:v>6352.1899519999997</c:v>
                </c:pt>
                <c:pt idx="8">
                  <c:v>14907.077869999999</c:v>
                </c:pt>
                <c:pt idx="9">
                  <c:v>6842.7936179999997</c:v>
                </c:pt>
                <c:pt idx="10">
                  <c:v>12418.39732</c:v>
                </c:pt>
                <c:pt idx="11">
                  <c:v>8254.3939289999998</c:v>
                </c:pt>
                <c:pt idx="12">
                  <c:v>7285.9135239999996</c:v>
                </c:pt>
                <c:pt idx="13">
                  <c:v>6316.2757119999997</c:v>
                </c:pt>
                <c:pt idx="14">
                  <c:v>14738.19974</c:v>
                </c:pt>
                <c:pt idx="15">
                  <c:v>8144.7153509999998</c:v>
                </c:pt>
                <c:pt idx="16">
                  <c:v>4316.5197330000001</c:v>
                </c:pt>
                <c:pt idx="17">
                  <c:v>6649.3893179999995</c:v>
                </c:pt>
                <c:pt idx="18">
                  <c:v>16570.569869999999</c:v>
                </c:pt>
                <c:pt idx="19">
                  <c:v>11197.48776</c:v>
                </c:pt>
                <c:pt idx="20">
                  <c:v>5215.6901209999996</c:v>
                </c:pt>
                <c:pt idx="21">
                  <c:v>11705.630510000001</c:v>
                </c:pt>
                <c:pt idx="22">
                  <c:v>7800.0806060000004</c:v>
                </c:pt>
                <c:pt idx="23">
                  <c:v>3848.6671620000002</c:v>
                </c:pt>
                <c:pt idx="24">
                  <c:v>23151.54592</c:v>
                </c:pt>
                <c:pt idx="25">
                  <c:v>5179.7696329999999</c:v>
                </c:pt>
                <c:pt idx="26">
                  <c:v>6731.2918659999996</c:v>
                </c:pt>
                <c:pt idx="27">
                  <c:v>6464.0728330000002</c:v>
                </c:pt>
                <c:pt idx="28">
                  <c:v>6363.0293439999996</c:v>
                </c:pt>
                <c:pt idx="29">
                  <c:v>4416.170282</c:v>
                </c:pt>
                <c:pt idx="30">
                  <c:v>5085.2320970000001</c:v>
                </c:pt>
                <c:pt idx="31">
                  <c:v>8092.6365889999997</c:v>
                </c:pt>
                <c:pt idx="32">
                  <c:v>4957.7005719999997</c:v>
                </c:pt>
                <c:pt idx="33">
                  <c:v>4827.7828570000001</c:v>
                </c:pt>
                <c:pt idx="34">
                  <c:v>3589.8886229999998</c:v>
                </c:pt>
                <c:pt idx="35">
                  <c:v>3714.5169449999999</c:v>
                </c:pt>
                <c:pt idx="36">
                  <c:v>4552.8255600000002</c:v>
                </c:pt>
                <c:pt idx="37">
                  <c:v>4475.5204130000002</c:v>
                </c:pt>
                <c:pt idx="38">
                  <c:v>4702.9309720000001</c:v>
                </c:pt>
                <c:pt idx="39">
                  <c:v>2546.3708310000002</c:v>
                </c:pt>
                <c:pt idx="40">
                  <c:v>7184.3943049999998</c:v>
                </c:pt>
                <c:pt idx="41">
                  <c:v>2717.536529</c:v>
                </c:pt>
                <c:pt idx="42">
                  <c:v>4405.8631100000002</c:v>
                </c:pt>
                <c:pt idx="43">
                  <c:v>5536.4985239999996</c:v>
                </c:pt>
                <c:pt idx="44">
                  <c:v>2833.1190980000001</c:v>
                </c:pt>
                <c:pt idx="45">
                  <c:v>2142.9562369999999</c:v>
                </c:pt>
                <c:pt idx="46">
                  <c:v>6112.1355359999998</c:v>
                </c:pt>
                <c:pt idx="47">
                  <c:v>5240.9689060000001</c:v>
                </c:pt>
                <c:pt idx="48">
                  <c:v>2513.810469</c:v>
                </c:pt>
                <c:pt idx="49">
                  <c:v>5271.5278850000004</c:v>
                </c:pt>
                <c:pt idx="50">
                  <c:v>3554.2281619999999</c:v>
                </c:pt>
                <c:pt idx="51">
                  <c:v>2334.2149009999998</c:v>
                </c:pt>
                <c:pt idx="52">
                  <c:v>1818.670089</c:v>
                </c:pt>
                <c:pt idx="53">
                  <c:v>5113.7010730000002</c:v>
                </c:pt>
                <c:pt idx="54">
                  <c:v>4345.7971649999999</c:v>
                </c:pt>
                <c:pt idx="55">
                  <c:v>2787.7608959999998</c:v>
                </c:pt>
                <c:pt idx="56">
                  <c:v>1050.7058119999999</c:v>
                </c:pt>
                <c:pt idx="57">
                  <c:v>1590.234322</c:v>
                </c:pt>
                <c:pt idx="58">
                  <c:v>3902.7658110000002</c:v>
                </c:pt>
                <c:pt idx="59">
                  <c:v>2365.8624799999998</c:v>
                </c:pt>
                <c:pt idx="60">
                  <c:v>2840.9600770000002</c:v>
                </c:pt>
                <c:pt idx="61">
                  <c:v>3773.0880099999999</c:v>
                </c:pt>
                <c:pt idx="62">
                  <c:v>3484.172184</c:v>
                </c:pt>
                <c:pt idx="63">
                  <c:v>745.19903859999999</c:v>
                </c:pt>
                <c:pt idx="64">
                  <c:v>1568.3140579999999</c:v>
                </c:pt>
                <c:pt idx="65">
                  <c:v>2828.5504900000001</c:v>
                </c:pt>
                <c:pt idx="66">
                  <c:v>3682.960979</c:v>
                </c:pt>
                <c:pt idx="67">
                  <c:v>1528.0854609999999</c:v>
                </c:pt>
                <c:pt idx="68">
                  <c:v>2403.6777579999998</c:v>
                </c:pt>
                <c:pt idx="69">
                  <c:v>1373.116483</c:v>
                </c:pt>
                <c:pt idx="70">
                  <c:v>1589.5513759999999</c:v>
                </c:pt>
                <c:pt idx="71">
                  <c:v>2213.0137810000001</c:v>
                </c:pt>
                <c:pt idx="72">
                  <c:v>3979.0664339999998</c:v>
                </c:pt>
                <c:pt idx="73">
                  <c:v>2255.3500800000002</c:v>
                </c:pt>
                <c:pt idx="74">
                  <c:v>670.61197249999998</c:v>
                </c:pt>
                <c:pt idx="75">
                  <c:v>1109.975465</c:v>
                </c:pt>
                <c:pt idx="76">
                  <c:v>2545.6148790000002</c:v>
                </c:pt>
                <c:pt idx="77">
                  <c:v>1756.587213</c:v>
                </c:pt>
                <c:pt idx="78">
                  <c:v>1330.9876839999999</c:v>
                </c:pt>
                <c:pt idx="79">
                  <c:v>3695.725066</c:v>
                </c:pt>
                <c:pt idx="80">
                  <c:v>1218.827669</c:v>
                </c:pt>
                <c:pt idx="81">
                  <c:v>1790.647571</c:v>
                </c:pt>
                <c:pt idx="82">
                  <c:v>859.63961380000001</c:v>
                </c:pt>
                <c:pt idx="83">
                  <c:v>2419.5855240000001</c:v>
                </c:pt>
                <c:pt idx="84">
                  <c:v>2624.400893</c:v>
                </c:pt>
                <c:pt idx="85">
                  <c:v>1155.1237699999999</c:v>
                </c:pt>
                <c:pt idx="86">
                  <c:v>1595.46721</c:v>
                </c:pt>
                <c:pt idx="87">
                  <c:v>373.03182779999997</c:v>
                </c:pt>
                <c:pt idx="88">
                  <c:v>680.65236089999996</c:v>
                </c:pt>
                <c:pt idx="89">
                  <c:v>884.84697730000005</c:v>
                </c:pt>
                <c:pt idx="90">
                  <c:v>978.27258670000003</c:v>
                </c:pt>
                <c:pt idx="91">
                  <c:v>657.45457820000001</c:v>
                </c:pt>
                <c:pt idx="92">
                  <c:v>2138.2328590000002</c:v>
                </c:pt>
                <c:pt idx="93">
                  <c:v>757.08112640000002</c:v>
                </c:pt>
                <c:pt idx="94">
                  <c:v>603.6429564</c:v>
                </c:pt>
                <c:pt idx="95">
                  <c:v>305.87708179999998</c:v>
                </c:pt>
                <c:pt idx="96">
                  <c:v>2094.052326</c:v>
                </c:pt>
                <c:pt idx="97">
                  <c:v>554.4818563</c:v>
                </c:pt>
                <c:pt idx="98">
                  <c:v>1085.3352090000001</c:v>
                </c:pt>
                <c:pt idx="99">
                  <c:v>329.56076130000002</c:v>
                </c:pt>
                <c:pt idx="100">
                  <c:v>813.63937710000005</c:v>
                </c:pt>
                <c:pt idx="101">
                  <c:v>656.54838299999994</c:v>
                </c:pt>
                <c:pt idx="102">
                  <c:v>552.50282119999997</c:v>
                </c:pt>
                <c:pt idx="103">
                  <c:v>189.35546540000001</c:v>
                </c:pt>
                <c:pt idx="104">
                  <c:v>76.236964299999997</c:v>
                </c:pt>
                <c:pt idx="105">
                  <c:v>1971.263989</c:v>
                </c:pt>
                <c:pt idx="106">
                  <c:v>222.9237162</c:v>
                </c:pt>
                <c:pt idx="107">
                  <c:v>399.52177490000003</c:v>
                </c:pt>
                <c:pt idx="108">
                  <c:v>517.07285639999998</c:v>
                </c:pt>
                <c:pt idx="109">
                  <c:v>704.81038550000005</c:v>
                </c:pt>
                <c:pt idx="110">
                  <c:v>321.38178959999999</c:v>
                </c:pt>
                <c:pt idx="111">
                  <c:v>105.3090515</c:v>
                </c:pt>
                <c:pt idx="112">
                  <c:v>131.64519050000001</c:v>
                </c:pt>
                <c:pt idx="113">
                  <c:v>1475.6111189999999</c:v>
                </c:pt>
                <c:pt idx="114">
                  <c:v>280.62092030000002</c:v>
                </c:pt>
                <c:pt idx="115">
                  <c:v>95.649943759999999</c:v>
                </c:pt>
                <c:pt idx="116">
                  <c:v>69.518563799999995</c:v>
                </c:pt>
                <c:pt idx="117">
                  <c:v>15.55107482</c:v>
                </c:pt>
                <c:pt idx="118">
                  <c:v>89.848989660000001</c:v>
                </c:pt>
                <c:pt idx="119">
                  <c:v>192.85484360000001</c:v>
                </c:pt>
                <c:pt idx="120">
                  <c:v>126.61580650000001</c:v>
                </c:pt>
                <c:pt idx="121">
                  <c:v>130.66793150000001</c:v>
                </c:pt>
                <c:pt idx="122">
                  <c:v>60.011125960000001</c:v>
                </c:pt>
                <c:pt idx="123">
                  <c:v>397.688087</c:v>
                </c:pt>
                <c:pt idx="124">
                  <c:v>81.314806869999998</c:v>
                </c:pt>
              </c:numCache>
            </c:numRef>
          </c:xVal>
          <c:yVal>
            <c:numRef>
              <c:f>'Final Sheet'!$C$2:$C$126</c:f>
              <c:numCache>
                <c:formatCode>General</c:formatCode>
                <c:ptCount val="125"/>
                <c:pt idx="0">
                  <c:v>11.601572778918319</c:v>
                </c:pt>
                <c:pt idx="1">
                  <c:v>11.563530039244521</c:v>
                </c:pt>
                <c:pt idx="2">
                  <c:v>11.455238201078446</c:v>
                </c:pt>
                <c:pt idx="3">
                  <c:v>11.393031729603598</c:v>
                </c:pt>
                <c:pt idx="4">
                  <c:v>11.247099451256936</c:v>
                </c:pt>
                <c:pt idx="5">
                  <c:v>11.124038586960536</c:v>
                </c:pt>
                <c:pt idx="6">
                  <c:v>11.084747140137008</c:v>
                </c:pt>
                <c:pt idx="7">
                  <c:v>10.987380687334896</c:v>
                </c:pt>
                <c:pt idx="8">
                  <c:v>10.937682214092023</c:v>
                </c:pt>
                <c:pt idx="9">
                  <c:v>10.914172073547821</c:v>
                </c:pt>
                <c:pt idx="10">
                  <c:v>10.91211843440294</c:v>
                </c:pt>
                <c:pt idx="11">
                  <c:v>10.865454510063607</c:v>
                </c:pt>
                <c:pt idx="12">
                  <c:v>10.83182047925489</c:v>
                </c:pt>
                <c:pt idx="13">
                  <c:v>10.829857676241655</c:v>
                </c:pt>
                <c:pt idx="14">
                  <c:v>10.828550896282051</c:v>
                </c:pt>
                <c:pt idx="15">
                  <c:v>10.801608387084805</c:v>
                </c:pt>
                <c:pt idx="16">
                  <c:v>10.759115829878199</c:v>
                </c:pt>
                <c:pt idx="17">
                  <c:v>10.62105022436505</c:v>
                </c:pt>
                <c:pt idx="18">
                  <c:v>10.596178856700218</c:v>
                </c:pt>
                <c:pt idx="19">
                  <c:v>10.508702789787989</c:v>
                </c:pt>
                <c:pt idx="20">
                  <c:v>10.48161393457265</c:v>
                </c:pt>
                <c:pt idx="21">
                  <c:v>10.458016274693851</c:v>
                </c:pt>
                <c:pt idx="22">
                  <c:v>10.436044645128055</c:v>
                </c:pt>
                <c:pt idx="23">
                  <c:v>10.411239748156701</c:v>
                </c:pt>
                <c:pt idx="24">
                  <c:v>10.324515000156007</c:v>
                </c:pt>
                <c:pt idx="25">
                  <c:v>10.319546305978465</c:v>
                </c:pt>
                <c:pt idx="26">
                  <c:v>10.252745703437657</c:v>
                </c:pt>
                <c:pt idx="27">
                  <c:v>10.252043017034934</c:v>
                </c:pt>
                <c:pt idx="28">
                  <c:v>10.249988748460938</c:v>
                </c:pt>
                <c:pt idx="29">
                  <c:v>10.130056594153579</c:v>
                </c:pt>
                <c:pt idx="30">
                  <c:v>10.111335512431898</c:v>
                </c:pt>
                <c:pt idx="31">
                  <c:v>10.052923545674085</c:v>
                </c:pt>
                <c:pt idx="32">
                  <c:v>9.9672974207706382</c:v>
                </c:pt>
                <c:pt idx="33">
                  <c:v>9.9468594596641893</c:v>
                </c:pt>
                <c:pt idx="34">
                  <c:v>9.9436027981682127</c:v>
                </c:pt>
                <c:pt idx="35">
                  <c:v>9.9144820756545116</c:v>
                </c:pt>
                <c:pt idx="36">
                  <c:v>9.8464521246625072</c:v>
                </c:pt>
                <c:pt idx="37">
                  <c:v>9.8236616471926013</c:v>
                </c:pt>
                <c:pt idx="38">
                  <c:v>9.8216280888937444</c:v>
                </c:pt>
                <c:pt idx="39">
                  <c:v>9.7629952460099947</c:v>
                </c:pt>
                <c:pt idx="40">
                  <c:v>9.6562827303871419</c:v>
                </c:pt>
                <c:pt idx="41">
                  <c:v>9.6488244250439532</c:v>
                </c:pt>
                <c:pt idx="42">
                  <c:v>9.6424874361953457</c:v>
                </c:pt>
                <c:pt idx="43">
                  <c:v>9.5467551069442074</c:v>
                </c:pt>
                <c:pt idx="44">
                  <c:v>9.5441081978301145</c:v>
                </c:pt>
                <c:pt idx="45">
                  <c:v>9.5197277311074942</c:v>
                </c:pt>
                <c:pt idx="46">
                  <c:v>9.470440968587436</c:v>
                </c:pt>
                <c:pt idx="47">
                  <c:v>9.3719971929651855</c:v>
                </c:pt>
                <c:pt idx="48">
                  <c:v>9.3418767508835661</c:v>
                </c:pt>
                <c:pt idx="49">
                  <c:v>9.3285979261419598</c:v>
                </c:pt>
                <c:pt idx="50">
                  <c:v>9.2963198650900551</c:v>
                </c:pt>
                <c:pt idx="51">
                  <c:v>9.2346916287503102</c:v>
                </c:pt>
                <c:pt idx="52">
                  <c:v>9.2207109016621676</c:v>
                </c:pt>
                <c:pt idx="53">
                  <c:v>9.2128192071241788</c:v>
                </c:pt>
                <c:pt idx="54">
                  <c:v>9.2127917249538829</c:v>
                </c:pt>
                <c:pt idx="55">
                  <c:v>9.1357604383122997</c:v>
                </c:pt>
                <c:pt idx="56">
                  <c:v>9.0370825047683407</c:v>
                </c:pt>
                <c:pt idx="57">
                  <c:v>9.0274637483611393</c:v>
                </c:pt>
                <c:pt idx="58">
                  <c:v>8.9865276042866373</c:v>
                </c:pt>
                <c:pt idx="59">
                  <c:v>8.9581019166280154</c:v>
                </c:pt>
                <c:pt idx="60">
                  <c:v>8.9563460274969806</c:v>
                </c:pt>
                <c:pt idx="61">
                  <c:v>8.9431919288545245</c:v>
                </c:pt>
                <c:pt idx="62">
                  <c:v>8.9367239172932447</c:v>
                </c:pt>
                <c:pt idx="63">
                  <c:v>8.9344945934050131</c:v>
                </c:pt>
                <c:pt idx="64">
                  <c:v>8.902541349073875</c:v>
                </c:pt>
                <c:pt idx="65">
                  <c:v>8.8406312539094962</c:v>
                </c:pt>
                <c:pt idx="66">
                  <c:v>8.8143076289168878</c:v>
                </c:pt>
                <c:pt idx="67">
                  <c:v>8.8069398915567039</c:v>
                </c:pt>
                <c:pt idx="68">
                  <c:v>8.790569592965797</c:v>
                </c:pt>
                <c:pt idx="69">
                  <c:v>8.7827418495468912</c:v>
                </c:pt>
                <c:pt idx="70">
                  <c:v>8.7819523212875765</c:v>
                </c:pt>
                <c:pt idx="71">
                  <c:v>8.7332115708747633</c:v>
                </c:pt>
                <c:pt idx="72">
                  <c:v>8.6972850893672984</c:v>
                </c:pt>
                <c:pt idx="73">
                  <c:v>8.6559626727691885</c:v>
                </c:pt>
                <c:pt idx="74">
                  <c:v>8.5864769803159486</c:v>
                </c:pt>
                <c:pt idx="75">
                  <c:v>8.5320033968953517</c:v>
                </c:pt>
                <c:pt idx="76">
                  <c:v>8.5158953235499872</c:v>
                </c:pt>
                <c:pt idx="77">
                  <c:v>8.5092221751070092</c:v>
                </c:pt>
                <c:pt idx="78">
                  <c:v>8.4618569669685826</c:v>
                </c:pt>
                <c:pt idx="79">
                  <c:v>8.4598192091666178</c:v>
                </c:pt>
                <c:pt idx="80">
                  <c:v>8.3778849345102611</c:v>
                </c:pt>
                <c:pt idx="81">
                  <c:v>8.3738426858433872</c:v>
                </c:pt>
                <c:pt idx="82">
                  <c:v>8.3474627069336194</c:v>
                </c:pt>
                <c:pt idx="83">
                  <c:v>8.3427614440585209</c:v>
                </c:pt>
                <c:pt idx="84">
                  <c:v>8.3303087050748239</c:v>
                </c:pt>
                <c:pt idx="85">
                  <c:v>8.2672337901000645</c:v>
                </c:pt>
                <c:pt idx="86">
                  <c:v>8.2180571938264091</c:v>
                </c:pt>
                <c:pt idx="87">
                  <c:v>8.2112420919020543</c:v>
                </c:pt>
                <c:pt idx="88">
                  <c:v>8.2036758328379413</c:v>
                </c:pt>
                <c:pt idx="89">
                  <c:v>8.1741588781879333</c:v>
                </c:pt>
                <c:pt idx="90">
                  <c:v>8.1499303068229754</c:v>
                </c:pt>
                <c:pt idx="91">
                  <c:v>8.1145151458385971</c:v>
                </c:pt>
                <c:pt idx="92">
                  <c:v>8.0567571092762691</c:v>
                </c:pt>
                <c:pt idx="93">
                  <c:v>8.0074636234282632</c:v>
                </c:pt>
                <c:pt idx="94">
                  <c:v>7.9070943865193017</c:v>
                </c:pt>
                <c:pt idx="95">
                  <c:v>7.8712494082054283</c:v>
                </c:pt>
                <c:pt idx="96">
                  <c:v>7.8550278350730833</c:v>
                </c:pt>
                <c:pt idx="97">
                  <c:v>7.8385012289556473</c:v>
                </c:pt>
                <c:pt idx="98">
                  <c:v>7.761084183150774</c:v>
                </c:pt>
                <c:pt idx="99">
                  <c:v>7.7550694020942448</c:v>
                </c:pt>
                <c:pt idx="100">
                  <c:v>7.7514884362149825</c:v>
                </c:pt>
                <c:pt idx="101">
                  <c:v>7.7505676115569075</c:v>
                </c:pt>
                <c:pt idx="102">
                  <c:v>7.709708087479834</c:v>
                </c:pt>
                <c:pt idx="103">
                  <c:v>7.6542360438718395</c:v>
                </c:pt>
                <c:pt idx="104">
                  <c:v>7.4734249110833026</c:v>
                </c:pt>
                <c:pt idx="105">
                  <c:v>7.4614795631843265</c:v>
                </c:pt>
                <c:pt idx="106">
                  <c:v>7.3808025653506242</c:v>
                </c:pt>
                <c:pt idx="107">
                  <c:v>7.3613932877759476</c:v>
                </c:pt>
                <c:pt idx="108">
                  <c:v>7.3384480175087168</c:v>
                </c:pt>
                <c:pt idx="109">
                  <c:v>7.2773327955769442</c:v>
                </c:pt>
                <c:pt idx="110">
                  <c:v>7.2341127187978271</c:v>
                </c:pt>
                <c:pt idx="111">
                  <c:v>7.1439549154760176</c:v>
                </c:pt>
                <c:pt idx="112">
                  <c:v>7.0963244702669108</c:v>
                </c:pt>
                <c:pt idx="113">
                  <c:v>6.9586189966148044</c:v>
                </c:pt>
                <c:pt idx="114">
                  <c:v>6.9529588666877009</c:v>
                </c:pt>
                <c:pt idx="115">
                  <c:v>6.8896963557899475</c:v>
                </c:pt>
                <c:pt idx="116">
                  <c:v>6.8829187131309917</c:v>
                </c:pt>
                <c:pt idx="117">
                  <c:v>6.8732015850527413</c:v>
                </c:pt>
                <c:pt idx="118">
                  <c:v>6.8701233096667389</c:v>
                </c:pt>
                <c:pt idx="119">
                  <c:v>6.857758384957017</c:v>
                </c:pt>
                <c:pt idx="120">
                  <c:v>6.71820466701939</c:v>
                </c:pt>
                <c:pt idx="121">
                  <c:v>6.5334088064281923</c:v>
                </c:pt>
                <c:pt idx="122">
                  <c:v>6.4130410797047963</c:v>
                </c:pt>
                <c:pt idx="123">
                  <c:v>6.360009178755484</c:v>
                </c:pt>
                <c:pt idx="124">
                  <c:v>6.2216125756943947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76-4BEE-8C95-CD00EC950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191471"/>
        <c:axId val="320563259"/>
      </c:scatterChart>
      <c:valAx>
        <c:axId val="15311914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Electricity Consumption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  <a:endParaRPr lang="en-US"/>
          </a:p>
        </c:txPr>
        <c:crossAx val="320563259"/>
        <c:crosses val="autoZero"/>
        <c:crossBetween val="midCat"/>
      </c:valAx>
      <c:valAx>
        <c:axId val="320563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Log GDP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Garamond"/>
              </a:defRPr>
            </a:pPr>
            <a:endParaRPr lang="en-US"/>
          </a:p>
        </c:txPr>
        <c:crossAx val="1531191471"/>
        <c:crosses val="autoZero"/>
        <c:crossBetween val="midCat"/>
      </c:valAx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Trade</a:t>
            </a:r>
            <a:r>
              <a:rPr lang="en-US" baseline="0"/>
              <a:t> Openness vs GDP per Capita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Sheet'!$E$2:$E$126</c:f>
              <c:strCache>
                <c:ptCount val="125"/>
                <c:pt idx="0">
                  <c:v>82.60947984</c:v>
                </c:pt>
                <c:pt idx="1">
                  <c:v>237.7554196</c:v>
                </c:pt>
                <c:pt idx="2">
                  <c:v>138.5006988</c:v>
                </c:pt>
                <c:pt idx="3">
                  <c:v>100.2136408</c:v>
                </c:pt>
                <c:pt idx="4">
                  <c:v>27.31393974</c:v>
                </c:pt>
                <c:pt idx="5">
                  <c:v>131.9958249</c:v>
                </c:pt>
                <c:pt idx="6">
                  <c:v>45.69464188</c:v>
                </c:pt>
                <c:pt idx="7">
                  <c:v>184.1074843</c:v>
                </c:pt>
                <c:pt idx="8">
                  <c:v>67.31762156</c:v>
                </c:pt>
                <c:pt idx="9">
                  <c:v>60.64485267</c:v>
                </c:pt>
                <c:pt idx="10">
                  <c:v>107.1117518</c:v>
                </c:pt>
                <c:pt idx="11">
                  <c:v>123.5795787</c:v>
                </c:pt>
                <c:pt idx="12">
                  <c:v>191.1790313</c:v>
                </c:pt>
                <c:pt idx="13">
                  <c:v>88.78575421</c:v>
                </c:pt>
                <c:pt idx="14">
                  <c:v>94.56253405</c:v>
                </c:pt>
                <c:pt idx="15">
                  <c:v>53.47616277</c:v>
                </c:pt>
                <c:pt idx="16">
                  <c:v>69.19892644</c:v>
                </c:pt>
                <c:pt idx="17">
                  <c:v>75.9630078</c:v>
                </c:pt>
                <c:pt idx="18">
                  <c:v>90.9204117</c:v>
                </c:pt>
                <c:pt idx="19">
                  <c:v>146.9739659</c:v>
                </c:pt>
                <c:pt idx="20">
                  <c:v>72.0165023</c:v>
                </c:pt>
                <c:pt idx="21">
                  <c:v>90.58514753</c:v>
                </c:pt>
                <c:pt idx="22">
                  <c:v>46.81298684</c:v>
                </c:pt>
                <c:pt idx="23">
                  <c:v>205.7535437</c:v>
                </c:pt>
                <c:pt idx="24">
                  <c:v>167.1412412</c:v>
                </c:pt>
                <c:pt idx="25">
                  <c:v>78.46573387</c:v>
                </c:pt>
                <c:pt idx="26">
                  <c:v>186.6470763</c:v>
                </c:pt>
                <c:pt idx="27">
                  <c:v>175.6871195</c:v>
                </c:pt>
                <c:pt idx="28">
                  <c:v>144.0114941</c:v>
                </c:pt>
                <c:pt idx="29">
                  <c:v>175.6516122</c:v>
                </c:pt>
                <c:pt idx="30">
                  <c:v>101.3641465</c:v>
                </c:pt>
                <c:pt idx="31">
                  <c:v>105.7450093</c:v>
                </c:pt>
                <c:pt idx="32">
                  <c:v>204.0563185</c:v>
                </c:pt>
                <c:pt idx="33">
                  <c:v>108.1218432</c:v>
                </c:pt>
                <c:pt idx="34">
                  <c:v>61.0307951</c:v>
                </c:pt>
                <c:pt idx="35">
                  <c:v>159.8927782</c:v>
                </c:pt>
                <c:pt idx="36">
                  <c:v>123.0213329</c:v>
                </c:pt>
                <c:pt idx="37">
                  <c:v>125.410878</c:v>
                </c:pt>
                <c:pt idx="38">
                  <c:v>185.0002041</c:v>
                </c:pt>
                <c:pt idx="39">
                  <c:v>93.47526882</c:v>
                </c:pt>
                <c:pt idx="40">
                  <c:v>42.78278643</c:v>
                </c:pt>
                <c:pt idx="41">
                  <c:v>93.94965094</c:v>
                </c:pt>
                <c:pt idx="42">
                  <c:v>75.20161774</c:v>
                </c:pt>
                <c:pt idx="43">
                  <c:v>138.8448772</c:v>
                </c:pt>
                <c:pt idx="44">
                  <c:v>31.58017926</c:v>
                </c:pt>
                <c:pt idx="45">
                  <c:v>82.22753254</c:v>
                </c:pt>
                <c:pt idx="46">
                  <c:v>37.44071988</c:v>
                </c:pt>
                <c:pt idx="47">
                  <c:v>146.4246048</c:v>
                </c:pt>
                <c:pt idx="48">
                  <c:v>88.79848559</c:v>
                </c:pt>
                <c:pt idx="49">
                  <c:v>68.33431474</c:v>
                </c:pt>
                <c:pt idx="50">
                  <c:v>79.89827223</c:v>
                </c:pt>
                <c:pt idx="51">
                  <c:v>147.663795</c:v>
                </c:pt>
                <c:pt idx="52">
                  <c:v>54.37819767</c:v>
                </c:pt>
                <c:pt idx="53">
                  <c:v>131.9132923</c:v>
                </c:pt>
                <c:pt idx="54">
                  <c:v>125.4559378</c:v>
                </c:pt>
                <c:pt idx="55">
                  <c:v>38.81606598</c:v>
                </c:pt>
                <c:pt idx="56">
                  <c:v>92.06308885</c:v>
                </c:pt>
                <c:pt idx="57">
                  <c:v>85.61170775</c:v>
                </c:pt>
                <c:pt idx="58">
                  <c:v>120.0242076</c:v>
                </c:pt>
                <c:pt idx="59">
                  <c:v>86.98227325</c:v>
                </c:pt>
                <c:pt idx="60">
                  <c:v>84.69804359</c:v>
                </c:pt>
                <c:pt idx="61">
                  <c:v>110.2052844</c:v>
                </c:pt>
                <c:pt idx="62">
                  <c:v>166.1473574</c:v>
                </c:pt>
                <c:pt idx="63">
                  <c:v>81.81301614</c:v>
                </c:pt>
                <c:pt idx="64">
                  <c:v>57.29697596</c:v>
                </c:pt>
                <c:pt idx="65">
                  <c:v>132.8587121</c:v>
                </c:pt>
                <c:pt idx="66">
                  <c:v>114.6954377</c:v>
                </c:pt>
                <c:pt idx="67">
                  <c:v>48.28265511</c:v>
                </c:pt>
                <c:pt idx="68">
                  <c:v>103.8786292</c:v>
                </c:pt>
                <c:pt idx="69">
                  <c:v>68.75879409</c:v>
                </c:pt>
                <c:pt idx="70">
                  <c:v>61.88079282</c:v>
                </c:pt>
                <c:pt idx="71">
                  <c:v>73.73790502</c:v>
                </c:pt>
                <c:pt idx="72">
                  <c:v>156.3216847</c:v>
                </c:pt>
                <c:pt idx="73">
                  <c:v>112.1176716</c:v>
                </c:pt>
                <c:pt idx="74">
                  <c:v>54.43103848</c:v>
                </c:pt>
                <c:pt idx="75">
                  <c:v>88.70110938</c:v>
                </c:pt>
                <c:pt idx="76">
                  <c:v>136.3279299</c:v>
                </c:pt>
                <c:pt idx="77">
                  <c:v>51.19008937</c:v>
                </c:pt>
                <c:pt idx="78">
                  <c:v>45.4646702</c:v>
                </c:pt>
                <c:pt idx="79">
                  <c:v>48.91835082</c:v>
                </c:pt>
                <c:pt idx="80">
                  <c:v>99.26255478</c:v>
                </c:pt>
                <c:pt idx="81">
                  <c:v>104.0954594</c:v>
                </c:pt>
                <c:pt idx="82">
                  <c:v>57.52493358</c:v>
                </c:pt>
                <c:pt idx="83">
                  <c:v>87.39651399</c:v>
                </c:pt>
                <c:pt idx="84">
                  <c:v>183.1536191</c:v>
                </c:pt>
                <c:pt idx="85">
                  <c:v>92.57158713</c:v>
                </c:pt>
                <c:pt idx="86">
                  <c:v>116.0957944</c:v>
                </c:pt>
                <c:pt idx="87">
                  <c:v>55.25477327</c:v>
                </c:pt>
                <c:pt idx="88">
                  <c:v>114.8882783</c:v>
                </c:pt>
                <c:pt idx="89">
                  <c:v>72.42968361</c:v>
                </c:pt>
                <c:pt idx="90">
                  <c:v>100.9063102</c:v>
                </c:pt>
                <c:pt idx="91">
                  <c:v>46.68260802</c:v>
                </c:pt>
                <c:pt idx="92">
                  <c:v>27.89827707</c:v>
                </c:pt>
                <c:pt idx="93">
                  <c:v>112.6985249</c:v>
                </c:pt>
                <c:pt idx="94">
                  <c:v>33.77996727</c:v>
                </c:pt>
                <c:pt idx="95">
                  <c:v>98.16133669</c:v>
                </c:pt>
                <c:pt idx="96">
                  <c:v>62.84125254</c:v>
                </c:pt>
                <c:pt idx="97">
                  <c:v>55.06735225</c:v>
                </c:pt>
                <c:pt idx="98">
                  <c:v>50.07527015</c:v>
                </c:pt>
                <c:pt idx="99">
                  <c:v>52.86639104</c:v>
                </c:pt>
                <c:pt idx="100">
                  <c:v>145.8736328</c:v>
                </c:pt>
                <c:pt idx="101">
                  <c:v>115.4546787</c:v>
                </c:pt>
                <c:pt idx="102">
                  <c:v>70.1154558</c:v>
                </c:pt>
                <c:pt idx="103">
                  <c:v>40.27532384</c:v>
                </c:pt>
                <c:pt idx="104">
                  <c:v>36.52955028</c:v>
                </c:pt>
                <c:pt idx="105">
                  <c:v>133.786718</c:v>
                </c:pt>
                <c:pt idx="106">
                  <c:v>41.28660256</c:v>
                </c:pt>
                <c:pt idx="107">
                  <c:v>79.59982165</c:v>
                </c:pt>
                <c:pt idx="108">
                  <c:v>33.03135348</c:v>
                </c:pt>
                <c:pt idx="109">
                  <c:v>69.29731542</c:v>
                </c:pt>
                <c:pt idx="110">
                  <c:v>48.97340148</c:v>
                </c:pt>
                <c:pt idx="111">
                  <c:v>44.38159289</c:v>
                </c:pt>
                <c:pt idx="112">
                  <c:v>35.00345171</c:v>
                </c:pt>
                <c:pt idx="113">
                  <c:v>65.43551159</c:v>
                </c:pt>
                <c:pt idx="114">
                  <c:v>2.698834436</c:v>
                </c:pt>
                <c:pt idx="115">
                  <c:v>26.5954997</c:v>
                </c:pt>
                <c:pt idx="116">
                  <c:v>61.1450795</c:v>
                </c:pt>
                <c:pt idx="117">
                  <c:v>47.98837843</c:v>
                </c:pt>
                <c:pt idx="118">
                  <c:v>34.50530193</c:v>
                </c:pt>
                <c:pt idx="119">
                  <c:v>61.5750924</c:v>
                </c:pt>
                <c:pt idx="120">
                  <c:v>67.52029013</c:v>
                </c:pt>
                <c:pt idx="121">
                  <c:v>85.82216919</c:v>
                </c:pt>
                <c:pt idx="122">
                  <c:v>52.80614843</c:v>
                </c:pt>
                <c:pt idx="123">
                  <c:v>135.2795784</c:v>
                </c:pt>
                <c:pt idx="124">
                  <c:v>70.54713441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4450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786102768081824"/>
                  <c:y val="-0.147189865729593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'Final Sheet'!$C$2:$C$126</c:f>
              <c:numCache>
                <c:formatCode>General</c:formatCode>
                <c:ptCount val="125"/>
                <c:pt idx="0">
                  <c:v>11.601572778918319</c:v>
                </c:pt>
                <c:pt idx="1">
                  <c:v>11.563530039244521</c:v>
                </c:pt>
                <c:pt idx="2">
                  <c:v>11.455238201078446</c:v>
                </c:pt>
                <c:pt idx="3">
                  <c:v>11.393031729603598</c:v>
                </c:pt>
                <c:pt idx="4">
                  <c:v>11.247099451256936</c:v>
                </c:pt>
                <c:pt idx="5">
                  <c:v>11.124038586960536</c:v>
                </c:pt>
                <c:pt idx="6">
                  <c:v>11.084747140137008</c:v>
                </c:pt>
                <c:pt idx="7">
                  <c:v>10.987380687334896</c:v>
                </c:pt>
                <c:pt idx="8">
                  <c:v>10.937682214092023</c:v>
                </c:pt>
                <c:pt idx="9">
                  <c:v>10.914172073547821</c:v>
                </c:pt>
                <c:pt idx="10">
                  <c:v>10.91211843440294</c:v>
                </c:pt>
                <c:pt idx="11">
                  <c:v>10.865454510063607</c:v>
                </c:pt>
                <c:pt idx="12">
                  <c:v>10.83182047925489</c:v>
                </c:pt>
                <c:pt idx="13">
                  <c:v>10.829857676241655</c:v>
                </c:pt>
                <c:pt idx="14">
                  <c:v>10.828550896282051</c:v>
                </c:pt>
                <c:pt idx="15">
                  <c:v>10.801608387084805</c:v>
                </c:pt>
                <c:pt idx="16">
                  <c:v>10.759115829878199</c:v>
                </c:pt>
                <c:pt idx="17">
                  <c:v>10.62105022436505</c:v>
                </c:pt>
                <c:pt idx="18">
                  <c:v>10.596178856700218</c:v>
                </c:pt>
                <c:pt idx="19">
                  <c:v>10.508702789787989</c:v>
                </c:pt>
                <c:pt idx="20">
                  <c:v>10.48161393457265</c:v>
                </c:pt>
                <c:pt idx="21">
                  <c:v>10.458016274693851</c:v>
                </c:pt>
                <c:pt idx="22">
                  <c:v>10.436044645128055</c:v>
                </c:pt>
                <c:pt idx="23">
                  <c:v>10.411239748156701</c:v>
                </c:pt>
                <c:pt idx="24">
                  <c:v>10.324515000156007</c:v>
                </c:pt>
                <c:pt idx="25">
                  <c:v>10.319546305978465</c:v>
                </c:pt>
                <c:pt idx="26">
                  <c:v>10.252745703437657</c:v>
                </c:pt>
                <c:pt idx="27">
                  <c:v>10.252043017034934</c:v>
                </c:pt>
                <c:pt idx="28">
                  <c:v>10.249988748460938</c:v>
                </c:pt>
                <c:pt idx="29">
                  <c:v>10.130056594153579</c:v>
                </c:pt>
                <c:pt idx="30">
                  <c:v>10.111335512431898</c:v>
                </c:pt>
                <c:pt idx="31">
                  <c:v>10.052923545674085</c:v>
                </c:pt>
                <c:pt idx="32">
                  <c:v>9.9672974207706382</c:v>
                </c:pt>
                <c:pt idx="33">
                  <c:v>9.9468594596641893</c:v>
                </c:pt>
                <c:pt idx="34">
                  <c:v>9.9436027981682127</c:v>
                </c:pt>
                <c:pt idx="35">
                  <c:v>9.9144820756545116</c:v>
                </c:pt>
                <c:pt idx="36">
                  <c:v>9.8464521246625072</c:v>
                </c:pt>
                <c:pt idx="37">
                  <c:v>9.8236616471926013</c:v>
                </c:pt>
                <c:pt idx="38">
                  <c:v>9.8216280888937444</c:v>
                </c:pt>
                <c:pt idx="39">
                  <c:v>9.7629952460099947</c:v>
                </c:pt>
                <c:pt idx="40">
                  <c:v>9.6562827303871419</c:v>
                </c:pt>
                <c:pt idx="41">
                  <c:v>9.6488244250439532</c:v>
                </c:pt>
                <c:pt idx="42">
                  <c:v>9.6424874361953457</c:v>
                </c:pt>
                <c:pt idx="43">
                  <c:v>9.5467551069442074</c:v>
                </c:pt>
                <c:pt idx="44">
                  <c:v>9.5441081978301145</c:v>
                </c:pt>
                <c:pt idx="45">
                  <c:v>9.5197277311074942</c:v>
                </c:pt>
                <c:pt idx="46">
                  <c:v>9.470440968587436</c:v>
                </c:pt>
                <c:pt idx="47">
                  <c:v>9.3719971929651855</c:v>
                </c:pt>
                <c:pt idx="48">
                  <c:v>9.3418767508835661</c:v>
                </c:pt>
                <c:pt idx="49">
                  <c:v>9.3285979261419598</c:v>
                </c:pt>
                <c:pt idx="50">
                  <c:v>9.2963198650900551</c:v>
                </c:pt>
                <c:pt idx="51">
                  <c:v>9.2346916287503102</c:v>
                </c:pt>
                <c:pt idx="52">
                  <c:v>9.2207109016621676</c:v>
                </c:pt>
                <c:pt idx="53">
                  <c:v>9.2128192071241788</c:v>
                </c:pt>
                <c:pt idx="54">
                  <c:v>9.2127917249538829</c:v>
                </c:pt>
                <c:pt idx="55">
                  <c:v>9.1357604383122997</c:v>
                </c:pt>
                <c:pt idx="56">
                  <c:v>9.0370825047683407</c:v>
                </c:pt>
                <c:pt idx="57">
                  <c:v>9.0274637483611393</c:v>
                </c:pt>
                <c:pt idx="58">
                  <c:v>8.9865276042866373</c:v>
                </c:pt>
                <c:pt idx="59">
                  <c:v>8.9581019166280154</c:v>
                </c:pt>
                <c:pt idx="60">
                  <c:v>8.9563460274969806</c:v>
                </c:pt>
                <c:pt idx="61">
                  <c:v>8.9431919288545245</c:v>
                </c:pt>
                <c:pt idx="62">
                  <c:v>8.9367239172932447</c:v>
                </c:pt>
                <c:pt idx="63">
                  <c:v>8.9344945934050131</c:v>
                </c:pt>
                <c:pt idx="64">
                  <c:v>8.902541349073875</c:v>
                </c:pt>
                <c:pt idx="65">
                  <c:v>8.8406312539094962</c:v>
                </c:pt>
                <c:pt idx="66">
                  <c:v>8.8143076289168878</c:v>
                </c:pt>
                <c:pt idx="67">
                  <c:v>8.8069398915567039</c:v>
                </c:pt>
                <c:pt idx="68">
                  <c:v>8.790569592965797</c:v>
                </c:pt>
                <c:pt idx="69">
                  <c:v>8.7827418495468912</c:v>
                </c:pt>
                <c:pt idx="70">
                  <c:v>8.7819523212875765</c:v>
                </c:pt>
                <c:pt idx="71">
                  <c:v>8.7332115708747633</c:v>
                </c:pt>
                <c:pt idx="72">
                  <c:v>8.6972850893672984</c:v>
                </c:pt>
                <c:pt idx="73">
                  <c:v>8.6559626727691885</c:v>
                </c:pt>
                <c:pt idx="74">
                  <c:v>8.5864769803159486</c:v>
                </c:pt>
                <c:pt idx="75">
                  <c:v>8.5320033968953517</c:v>
                </c:pt>
                <c:pt idx="76">
                  <c:v>8.5158953235499872</c:v>
                </c:pt>
                <c:pt idx="77">
                  <c:v>8.5092221751070092</c:v>
                </c:pt>
                <c:pt idx="78">
                  <c:v>8.4618569669685826</c:v>
                </c:pt>
                <c:pt idx="79">
                  <c:v>8.4598192091666178</c:v>
                </c:pt>
                <c:pt idx="80">
                  <c:v>8.3778849345102611</c:v>
                </c:pt>
                <c:pt idx="81">
                  <c:v>8.3738426858433872</c:v>
                </c:pt>
                <c:pt idx="82">
                  <c:v>8.3474627069336194</c:v>
                </c:pt>
                <c:pt idx="83">
                  <c:v>8.3427614440585209</c:v>
                </c:pt>
                <c:pt idx="84">
                  <c:v>8.3303087050748239</c:v>
                </c:pt>
                <c:pt idx="85">
                  <c:v>8.2672337901000645</c:v>
                </c:pt>
                <c:pt idx="86">
                  <c:v>8.2180571938264091</c:v>
                </c:pt>
                <c:pt idx="87">
                  <c:v>8.2112420919020543</c:v>
                </c:pt>
                <c:pt idx="88">
                  <c:v>8.2036758328379413</c:v>
                </c:pt>
                <c:pt idx="89">
                  <c:v>8.1741588781879333</c:v>
                </c:pt>
                <c:pt idx="90">
                  <c:v>8.1499303068229754</c:v>
                </c:pt>
                <c:pt idx="91">
                  <c:v>8.1145151458385971</c:v>
                </c:pt>
                <c:pt idx="92">
                  <c:v>8.0567571092762691</c:v>
                </c:pt>
                <c:pt idx="93">
                  <c:v>8.0074636234282632</c:v>
                </c:pt>
                <c:pt idx="94">
                  <c:v>7.9070943865193017</c:v>
                </c:pt>
                <c:pt idx="95">
                  <c:v>7.8712494082054283</c:v>
                </c:pt>
                <c:pt idx="96">
                  <c:v>7.8550278350730833</c:v>
                </c:pt>
                <c:pt idx="97">
                  <c:v>7.8385012289556473</c:v>
                </c:pt>
                <c:pt idx="98">
                  <c:v>7.761084183150774</c:v>
                </c:pt>
                <c:pt idx="99">
                  <c:v>7.7550694020942448</c:v>
                </c:pt>
                <c:pt idx="100">
                  <c:v>7.7514884362149825</c:v>
                </c:pt>
                <c:pt idx="101">
                  <c:v>7.7505676115569075</c:v>
                </c:pt>
                <c:pt idx="102">
                  <c:v>7.709708087479834</c:v>
                </c:pt>
                <c:pt idx="103">
                  <c:v>7.6542360438718395</c:v>
                </c:pt>
                <c:pt idx="104">
                  <c:v>7.4734249110833026</c:v>
                </c:pt>
                <c:pt idx="105">
                  <c:v>7.4614795631843265</c:v>
                </c:pt>
                <c:pt idx="106">
                  <c:v>7.3808025653506242</c:v>
                </c:pt>
                <c:pt idx="107">
                  <c:v>7.3613932877759476</c:v>
                </c:pt>
                <c:pt idx="108">
                  <c:v>7.3384480175087168</c:v>
                </c:pt>
                <c:pt idx="109">
                  <c:v>7.2773327955769442</c:v>
                </c:pt>
                <c:pt idx="110">
                  <c:v>7.2341127187978271</c:v>
                </c:pt>
                <c:pt idx="111">
                  <c:v>7.1439549154760176</c:v>
                </c:pt>
                <c:pt idx="112">
                  <c:v>7.0963244702669108</c:v>
                </c:pt>
                <c:pt idx="113">
                  <c:v>6.9586189966148044</c:v>
                </c:pt>
                <c:pt idx="114">
                  <c:v>6.9529588666877009</c:v>
                </c:pt>
                <c:pt idx="115">
                  <c:v>6.8896963557899475</c:v>
                </c:pt>
                <c:pt idx="116">
                  <c:v>6.8829187131309917</c:v>
                </c:pt>
                <c:pt idx="117">
                  <c:v>6.8732015850527413</c:v>
                </c:pt>
                <c:pt idx="118">
                  <c:v>6.8701233096667389</c:v>
                </c:pt>
                <c:pt idx="119">
                  <c:v>6.857758384957017</c:v>
                </c:pt>
                <c:pt idx="120">
                  <c:v>6.71820466701939</c:v>
                </c:pt>
                <c:pt idx="121">
                  <c:v>6.5334088064281923</c:v>
                </c:pt>
                <c:pt idx="122">
                  <c:v>6.4130410797047963</c:v>
                </c:pt>
                <c:pt idx="123">
                  <c:v>6.360009178755484</c:v>
                </c:pt>
                <c:pt idx="124">
                  <c:v>6.2216125756943947</c:v>
                </c:pt>
              </c:numCache>
            </c:numRef>
          </c:xVal>
          <c:yVal>
            <c:numRef>
              <c:f>'Final Sheet'!$E$2:$E$126</c:f>
              <c:numCache>
                <c:formatCode>General</c:formatCode>
                <c:ptCount val="125"/>
                <c:pt idx="0">
                  <c:v>82.609479836138917</c:v>
                </c:pt>
                <c:pt idx="1">
                  <c:v>237.75541955937791</c:v>
                </c:pt>
                <c:pt idx="2">
                  <c:v>138.50069875351929</c:v>
                </c:pt>
                <c:pt idx="3">
                  <c:v>100.2136408456121</c:v>
                </c:pt>
                <c:pt idx="4">
                  <c:v>27.313939735536319</c:v>
                </c:pt>
                <c:pt idx="5">
                  <c:v>131.99582490907079</c:v>
                </c:pt>
                <c:pt idx="6">
                  <c:v>45.694641880575219</c:v>
                </c:pt>
                <c:pt idx="7">
                  <c:v>184.10748425268159</c:v>
                </c:pt>
                <c:pt idx="8">
                  <c:v>67.317621556398947</c:v>
                </c:pt>
                <c:pt idx="9">
                  <c:v>60.644852674295237</c:v>
                </c:pt>
                <c:pt idx="10">
                  <c:v>107.11175182651171</c:v>
                </c:pt>
                <c:pt idx="11">
                  <c:v>123.5795786529019</c:v>
                </c:pt>
                <c:pt idx="12">
                  <c:v>191.1790313037861</c:v>
                </c:pt>
                <c:pt idx="13">
                  <c:v>88.785754213050112</c:v>
                </c:pt>
                <c:pt idx="14">
                  <c:v>94.562534052266713</c:v>
                </c:pt>
                <c:pt idx="15">
                  <c:v>53.476162765581677</c:v>
                </c:pt>
                <c:pt idx="16">
                  <c:v>69.1989264413981</c:v>
                </c:pt>
                <c:pt idx="17">
                  <c:v>75.963007798199627</c:v>
                </c:pt>
                <c:pt idx="18">
                  <c:v>90.920411697019603</c:v>
                </c:pt>
                <c:pt idx="19">
                  <c:v>146.97396587959719</c:v>
                </c:pt>
                <c:pt idx="20">
                  <c:v>72.016502303269661</c:v>
                </c:pt>
                <c:pt idx="21">
                  <c:v>90.585147527854929</c:v>
                </c:pt>
                <c:pt idx="22">
                  <c:v>46.812986836893813</c:v>
                </c:pt>
                <c:pt idx="23">
                  <c:v>205.7535437455235</c:v>
                </c:pt>
                <c:pt idx="24">
                  <c:v>167.1412411525348</c:v>
                </c:pt>
                <c:pt idx="25">
                  <c:v>78.465733870305399</c:v>
                </c:pt>
                <c:pt idx="26">
                  <c:v>186.64707627463179</c:v>
                </c:pt>
                <c:pt idx="27">
                  <c:v>175.68711950524019</c:v>
                </c:pt>
                <c:pt idx="28">
                  <c:v>144.01149410939661</c:v>
                </c:pt>
                <c:pt idx="29">
                  <c:v>175.65161215109271</c:v>
                </c:pt>
                <c:pt idx="30">
                  <c:v>101.3641464794345</c:v>
                </c:pt>
                <c:pt idx="31">
                  <c:v>105.7450092806546</c:v>
                </c:pt>
                <c:pt idx="32">
                  <c:v>204.05631853115131</c:v>
                </c:pt>
                <c:pt idx="33">
                  <c:v>108.1218432299224</c:v>
                </c:pt>
                <c:pt idx="34">
                  <c:v>61.030795104382143</c:v>
                </c:pt>
                <c:pt idx="35">
                  <c:v>159.8927781906489</c:v>
                </c:pt>
                <c:pt idx="36">
                  <c:v>123.0213328603447</c:v>
                </c:pt>
                <c:pt idx="37">
                  <c:v>125.41087797469351</c:v>
                </c:pt>
                <c:pt idx="38">
                  <c:v>185.00020409269851</c:v>
                </c:pt>
                <c:pt idx="39">
                  <c:v>93.475268816844249</c:v>
                </c:pt>
                <c:pt idx="40">
                  <c:v>42.782786429481114</c:v>
                </c:pt>
                <c:pt idx="41">
                  <c:v>93.949650938344703</c:v>
                </c:pt>
                <c:pt idx="42">
                  <c:v>75.201617742530331</c:v>
                </c:pt>
                <c:pt idx="43">
                  <c:v>138.84487724123849</c:v>
                </c:pt>
                <c:pt idx="44">
                  <c:v>31.580179260625609</c:v>
                </c:pt>
                <c:pt idx="45">
                  <c:v>82.227532535314324</c:v>
                </c:pt>
                <c:pt idx="46">
                  <c:v>37.440719876365989</c:v>
                </c:pt>
                <c:pt idx="47">
                  <c:v>146.42460475390749</c:v>
                </c:pt>
                <c:pt idx="48">
                  <c:v>88.798485586718556</c:v>
                </c:pt>
                <c:pt idx="49">
                  <c:v>68.334314741561229</c:v>
                </c:pt>
                <c:pt idx="50">
                  <c:v>79.898272231434092</c:v>
                </c:pt>
                <c:pt idx="51">
                  <c:v>147.66379503401171</c:v>
                </c:pt>
                <c:pt idx="52">
                  <c:v>54.378197671284369</c:v>
                </c:pt>
                <c:pt idx="53">
                  <c:v>131.9132922835162</c:v>
                </c:pt>
                <c:pt idx="54">
                  <c:v>125.455937754994</c:v>
                </c:pt>
                <c:pt idx="55">
                  <c:v>38.816065976432142</c:v>
                </c:pt>
                <c:pt idx="56">
                  <c:v>92.063088850013088</c:v>
                </c:pt>
                <c:pt idx="57">
                  <c:v>85.611707754343186</c:v>
                </c:pt>
                <c:pt idx="58">
                  <c:v>120.0242075760939</c:v>
                </c:pt>
                <c:pt idx="59">
                  <c:v>86.982273254177883</c:v>
                </c:pt>
                <c:pt idx="60">
                  <c:v>84.698043594486549</c:v>
                </c:pt>
                <c:pt idx="61">
                  <c:v>110.2052843773868</c:v>
                </c:pt>
                <c:pt idx="62">
                  <c:v>166.14735737987749</c:v>
                </c:pt>
                <c:pt idx="63">
                  <c:v>81.813016136809892</c:v>
                </c:pt>
                <c:pt idx="64">
                  <c:v>57.296975964972141</c:v>
                </c:pt>
                <c:pt idx="65">
                  <c:v>132.85871208287119</c:v>
                </c:pt>
                <c:pt idx="66">
                  <c:v>114.6954376887181</c:v>
                </c:pt>
                <c:pt idx="67">
                  <c:v>48.28265511233591</c:v>
                </c:pt>
                <c:pt idx="68">
                  <c:v>103.87862921350801</c:v>
                </c:pt>
                <c:pt idx="69">
                  <c:v>68.758794094090007</c:v>
                </c:pt>
                <c:pt idx="70">
                  <c:v>61.880792818785963</c:v>
                </c:pt>
                <c:pt idx="71">
                  <c:v>73.737905021856605</c:v>
                </c:pt>
                <c:pt idx="72">
                  <c:v>156.3216846823475</c:v>
                </c:pt>
                <c:pt idx="73">
                  <c:v>112.1176715797656</c:v>
                </c:pt>
                <c:pt idx="74">
                  <c:v>54.431038482005803</c:v>
                </c:pt>
                <c:pt idx="75">
                  <c:v>88.701109377686677</c:v>
                </c:pt>
                <c:pt idx="76">
                  <c:v>136.32792994451631</c:v>
                </c:pt>
                <c:pt idx="77">
                  <c:v>51.1900893683897</c:v>
                </c:pt>
                <c:pt idx="78">
                  <c:v>45.464670195945317</c:v>
                </c:pt>
                <c:pt idx="79">
                  <c:v>48.9183508223052</c:v>
                </c:pt>
                <c:pt idx="80">
                  <c:v>99.262554781406394</c:v>
                </c:pt>
                <c:pt idx="81">
                  <c:v>104.0954594391887</c:v>
                </c:pt>
                <c:pt idx="82">
                  <c:v>57.524933578963058</c:v>
                </c:pt>
                <c:pt idx="83">
                  <c:v>87.396513990724387</c:v>
                </c:pt>
                <c:pt idx="84">
                  <c:v>183.1536191478358</c:v>
                </c:pt>
                <c:pt idx="85">
                  <c:v>92.571587129833361</c:v>
                </c:pt>
                <c:pt idx="86">
                  <c:v>116.09579438414571</c:v>
                </c:pt>
                <c:pt idx="87">
                  <c:v>55.25477327138352</c:v>
                </c:pt>
                <c:pt idx="88">
                  <c:v>114.8882782656665</c:v>
                </c:pt>
                <c:pt idx="89">
                  <c:v>72.429683610759909</c:v>
                </c:pt>
                <c:pt idx="90">
                  <c:v>100.90631020165139</c:v>
                </c:pt>
                <c:pt idx="91">
                  <c:v>46.682608019681929</c:v>
                </c:pt>
                <c:pt idx="92">
                  <c:v>27.89827706500223</c:v>
                </c:pt>
                <c:pt idx="93">
                  <c:v>112.6985249139662</c:v>
                </c:pt>
                <c:pt idx="94">
                  <c:v>33.779967270573493</c:v>
                </c:pt>
                <c:pt idx="95">
                  <c:v>98.161336692200081</c:v>
                </c:pt>
                <c:pt idx="96">
                  <c:v>62.841252537851709</c:v>
                </c:pt>
                <c:pt idx="97">
                  <c:v>55.06735224760363</c:v>
                </c:pt>
                <c:pt idx="98">
                  <c:v>50.075270149888198</c:v>
                </c:pt>
                <c:pt idx="99">
                  <c:v>52.866391041348322</c:v>
                </c:pt>
                <c:pt idx="100">
                  <c:v>145.8736327614059</c:v>
                </c:pt>
                <c:pt idx="101">
                  <c:v>115.4546787128649</c:v>
                </c:pt>
                <c:pt idx="102">
                  <c:v>70.115455795890711</c:v>
                </c:pt>
                <c:pt idx="103">
                  <c:v>40.275323837356098</c:v>
                </c:pt>
                <c:pt idx="104">
                  <c:v>36.529550283828009</c:v>
                </c:pt>
                <c:pt idx="105">
                  <c:v>133.78671804876561</c:v>
                </c:pt>
                <c:pt idx="106">
                  <c:v>41.286602559467859</c:v>
                </c:pt>
                <c:pt idx="107">
                  <c:v>79.599821651583198</c:v>
                </c:pt>
                <c:pt idx="108">
                  <c:v>33.031353478032031</c:v>
                </c:pt>
                <c:pt idx="109">
                  <c:v>69.297315419320299</c:v>
                </c:pt>
                <c:pt idx="110">
                  <c:v>48.973401479942773</c:v>
                </c:pt>
                <c:pt idx="111">
                  <c:v>44.381592887742407</c:v>
                </c:pt>
                <c:pt idx="112">
                  <c:v>35.003451710199379</c:v>
                </c:pt>
                <c:pt idx="113">
                  <c:v>65.435511589357745</c:v>
                </c:pt>
                <c:pt idx="114">
                  <c:v>2.6988344358585579</c:v>
                </c:pt>
                <c:pt idx="115">
                  <c:v>26.595499696731281</c:v>
                </c:pt>
                <c:pt idx="116">
                  <c:v>61.145079503365132</c:v>
                </c:pt>
                <c:pt idx="117">
                  <c:v>47.988378431942941</c:v>
                </c:pt>
                <c:pt idx="118">
                  <c:v>34.505301927093733</c:v>
                </c:pt>
                <c:pt idx="119">
                  <c:v>61.575092396894007</c:v>
                </c:pt>
                <c:pt idx="120">
                  <c:v>67.520290133165545</c:v>
                </c:pt>
                <c:pt idx="121">
                  <c:v>85.822169187995812</c:v>
                </c:pt>
                <c:pt idx="122">
                  <c:v>52.806148432733202</c:v>
                </c:pt>
                <c:pt idx="123">
                  <c:v>135.2795784169914</c:v>
                </c:pt>
                <c:pt idx="124">
                  <c:v>70.547134413096117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9C-48CB-B25D-7FB34B00D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466095"/>
        <c:axId val="307455055"/>
      </c:scatterChart>
      <c:valAx>
        <c:axId val="30746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55055"/>
        <c:crosses val="autoZero"/>
        <c:crossBetween val="midCat"/>
      </c:valAx>
      <c:valAx>
        <c:axId val="30745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6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FDI%</a:t>
            </a:r>
            <a:r>
              <a:rPr lang="en-US" baseline="0"/>
              <a:t> GDP vs GDP per Capita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2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037269534856532"/>
                  <c:y val="-0.166298986428746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'Final Sheet'!$C$2:$C$126</c:f>
              <c:numCache>
                <c:formatCode>General</c:formatCode>
                <c:ptCount val="125"/>
                <c:pt idx="0">
                  <c:v>11.601572778918319</c:v>
                </c:pt>
                <c:pt idx="1">
                  <c:v>11.563530039244521</c:v>
                </c:pt>
                <c:pt idx="2">
                  <c:v>11.455238201078446</c:v>
                </c:pt>
                <c:pt idx="3">
                  <c:v>11.393031729603598</c:v>
                </c:pt>
                <c:pt idx="4">
                  <c:v>11.247099451256936</c:v>
                </c:pt>
                <c:pt idx="5">
                  <c:v>11.124038586960536</c:v>
                </c:pt>
                <c:pt idx="6">
                  <c:v>11.084747140137008</c:v>
                </c:pt>
                <c:pt idx="7">
                  <c:v>10.987380687334896</c:v>
                </c:pt>
                <c:pt idx="8">
                  <c:v>10.937682214092023</c:v>
                </c:pt>
                <c:pt idx="9">
                  <c:v>10.914172073547821</c:v>
                </c:pt>
                <c:pt idx="10">
                  <c:v>10.91211843440294</c:v>
                </c:pt>
                <c:pt idx="11">
                  <c:v>10.865454510063607</c:v>
                </c:pt>
                <c:pt idx="12">
                  <c:v>10.83182047925489</c:v>
                </c:pt>
                <c:pt idx="13">
                  <c:v>10.829857676241655</c:v>
                </c:pt>
                <c:pt idx="14">
                  <c:v>10.828550896282051</c:v>
                </c:pt>
                <c:pt idx="15">
                  <c:v>10.801608387084805</c:v>
                </c:pt>
                <c:pt idx="16">
                  <c:v>10.759115829878199</c:v>
                </c:pt>
                <c:pt idx="17">
                  <c:v>10.62105022436505</c:v>
                </c:pt>
                <c:pt idx="18">
                  <c:v>10.596178856700218</c:v>
                </c:pt>
                <c:pt idx="19">
                  <c:v>10.508702789787989</c:v>
                </c:pt>
                <c:pt idx="20">
                  <c:v>10.48161393457265</c:v>
                </c:pt>
                <c:pt idx="21">
                  <c:v>10.458016274693851</c:v>
                </c:pt>
                <c:pt idx="22">
                  <c:v>10.436044645128055</c:v>
                </c:pt>
                <c:pt idx="23">
                  <c:v>10.411239748156701</c:v>
                </c:pt>
                <c:pt idx="24">
                  <c:v>10.324515000156007</c:v>
                </c:pt>
                <c:pt idx="25">
                  <c:v>10.319546305978465</c:v>
                </c:pt>
                <c:pt idx="26">
                  <c:v>10.252745703437657</c:v>
                </c:pt>
                <c:pt idx="27">
                  <c:v>10.252043017034934</c:v>
                </c:pt>
                <c:pt idx="28">
                  <c:v>10.249988748460938</c:v>
                </c:pt>
                <c:pt idx="29">
                  <c:v>10.130056594153579</c:v>
                </c:pt>
                <c:pt idx="30">
                  <c:v>10.111335512431898</c:v>
                </c:pt>
                <c:pt idx="31">
                  <c:v>10.052923545674085</c:v>
                </c:pt>
                <c:pt idx="32">
                  <c:v>9.9672974207706382</c:v>
                </c:pt>
                <c:pt idx="33">
                  <c:v>9.9468594596641893</c:v>
                </c:pt>
                <c:pt idx="34">
                  <c:v>9.9436027981682127</c:v>
                </c:pt>
                <c:pt idx="35">
                  <c:v>9.9144820756545116</c:v>
                </c:pt>
                <c:pt idx="36">
                  <c:v>9.8464521246625072</c:v>
                </c:pt>
                <c:pt idx="37">
                  <c:v>9.8236616471926013</c:v>
                </c:pt>
                <c:pt idx="38">
                  <c:v>9.8216280888937444</c:v>
                </c:pt>
                <c:pt idx="39">
                  <c:v>9.7629952460099947</c:v>
                </c:pt>
                <c:pt idx="40">
                  <c:v>9.6562827303871419</c:v>
                </c:pt>
                <c:pt idx="41">
                  <c:v>9.6488244250439532</c:v>
                </c:pt>
                <c:pt idx="42">
                  <c:v>9.6424874361953457</c:v>
                </c:pt>
                <c:pt idx="43">
                  <c:v>9.5467551069442074</c:v>
                </c:pt>
                <c:pt idx="44">
                  <c:v>9.5441081978301145</c:v>
                </c:pt>
                <c:pt idx="45">
                  <c:v>9.5197277311074942</c:v>
                </c:pt>
                <c:pt idx="46">
                  <c:v>9.470440968587436</c:v>
                </c:pt>
                <c:pt idx="47">
                  <c:v>9.3719971929651855</c:v>
                </c:pt>
                <c:pt idx="48">
                  <c:v>9.3418767508835661</c:v>
                </c:pt>
                <c:pt idx="49">
                  <c:v>9.3285979261419598</c:v>
                </c:pt>
                <c:pt idx="50">
                  <c:v>9.2963198650900551</c:v>
                </c:pt>
                <c:pt idx="51">
                  <c:v>9.2346916287503102</c:v>
                </c:pt>
                <c:pt idx="52">
                  <c:v>9.2207109016621676</c:v>
                </c:pt>
                <c:pt idx="53">
                  <c:v>9.2128192071241788</c:v>
                </c:pt>
                <c:pt idx="54">
                  <c:v>9.2127917249538829</c:v>
                </c:pt>
                <c:pt idx="55">
                  <c:v>9.1357604383122997</c:v>
                </c:pt>
                <c:pt idx="56">
                  <c:v>9.0370825047683407</c:v>
                </c:pt>
                <c:pt idx="57">
                  <c:v>9.0274637483611393</c:v>
                </c:pt>
                <c:pt idx="58">
                  <c:v>8.9865276042866373</c:v>
                </c:pt>
                <c:pt idx="59">
                  <c:v>8.9581019166280154</c:v>
                </c:pt>
                <c:pt idx="60">
                  <c:v>8.9563460274969806</c:v>
                </c:pt>
                <c:pt idx="61">
                  <c:v>8.9431919288545245</c:v>
                </c:pt>
                <c:pt idx="62">
                  <c:v>8.9367239172932447</c:v>
                </c:pt>
                <c:pt idx="63">
                  <c:v>8.9344945934050131</c:v>
                </c:pt>
                <c:pt idx="64">
                  <c:v>8.902541349073875</c:v>
                </c:pt>
                <c:pt idx="65">
                  <c:v>8.8406312539094962</c:v>
                </c:pt>
                <c:pt idx="66">
                  <c:v>8.8143076289168878</c:v>
                </c:pt>
                <c:pt idx="67">
                  <c:v>8.8069398915567039</c:v>
                </c:pt>
                <c:pt idx="68">
                  <c:v>8.790569592965797</c:v>
                </c:pt>
                <c:pt idx="69">
                  <c:v>8.7827418495468912</c:v>
                </c:pt>
                <c:pt idx="70">
                  <c:v>8.7819523212875765</c:v>
                </c:pt>
                <c:pt idx="71">
                  <c:v>8.7332115708747633</c:v>
                </c:pt>
                <c:pt idx="72">
                  <c:v>8.6972850893672984</c:v>
                </c:pt>
                <c:pt idx="73">
                  <c:v>8.6559626727691885</c:v>
                </c:pt>
                <c:pt idx="74">
                  <c:v>8.5864769803159486</c:v>
                </c:pt>
                <c:pt idx="75">
                  <c:v>8.5320033968953517</c:v>
                </c:pt>
                <c:pt idx="76">
                  <c:v>8.5158953235499872</c:v>
                </c:pt>
                <c:pt idx="77">
                  <c:v>8.5092221751070092</c:v>
                </c:pt>
                <c:pt idx="78">
                  <c:v>8.4618569669685826</c:v>
                </c:pt>
                <c:pt idx="79">
                  <c:v>8.4598192091666178</c:v>
                </c:pt>
                <c:pt idx="80">
                  <c:v>8.3778849345102611</c:v>
                </c:pt>
                <c:pt idx="81">
                  <c:v>8.3738426858433872</c:v>
                </c:pt>
                <c:pt idx="82">
                  <c:v>8.3474627069336194</c:v>
                </c:pt>
                <c:pt idx="83">
                  <c:v>8.3427614440585209</c:v>
                </c:pt>
                <c:pt idx="84">
                  <c:v>8.3303087050748239</c:v>
                </c:pt>
                <c:pt idx="85">
                  <c:v>8.2672337901000645</c:v>
                </c:pt>
                <c:pt idx="86">
                  <c:v>8.2180571938264091</c:v>
                </c:pt>
                <c:pt idx="87">
                  <c:v>8.2112420919020543</c:v>
                </c:pt>
                <c:pt idx="88">
                  <c:v>8.2036758328379413</c:v>
                </c:pt>
                <c:pt idx="89">
                  <c:v>8.1741588781879333</c:v>
                </c:pt>
                <c:pt idx="90">
                  <c:v>8.1499303068229754</c:v>
                </c:pt>
                <c:pt idx="91">
                  <c:v>8.1145151458385971</c:v>
                </c:pt>
                <c:pt idx="92">
                  <c:v>8.0567571092762691</c:v>
                </c:pt>
                <c:pt idx="93">
                  <c:v>8.0074636234282632</c:v>
                </c:pt>
                <c:pt idx="94">
                  <c:v>7.9070943865193017</c:v>
                </c:pt>
                <c:pt idx="95">
                  <c:v>7.8712494082054283</c:v>
                </c:pt>
                <c:pt idx="96">
                  <c:v>7.8550278350730833</c:v>
                </c:pt>
                <c:pt idx="97">
                  <c:v>7.8385012289556473</c:v>
                </c:pt>
                <c:pt idx="98">
                  <c:v>7.761084183150774</c:v>
                </c:pt>
                <c:pt idx="99">
                  <c:v>7.7550694020942448</c:v>
                </c:pt>
                <c:pt idx="100">
                  <c:v>7.7514884362149825</c:v>
                </c:pt>
                <c:pt idx="101">
                  <c:v>7.7505676115569075</c:v>
                </c:pt>
                <c:pt idx="102">
                  <c:v>7.709708087479834</c:v>
                </c:pt>
                <c:pt idx="103">
                  <c:v>7.6542360438718395</c:v>
                </c:pt>
                <c:pt idx="104">
                  <c:v>7.4734249110833026</c:v>
                </c:pt>
                <c:pt idx="105">
                  <c:v>7.4614795631843265</c:v>
                </c:pt>
                <c:pt idx="106">
                  <c:v>7.3808025653506242</c:v>
                </c:pt>
                <c:pt idx="107">
                  <c:v>7.3613932877759476</c:v>
                </c:pt>
                <c:pt idx="108">
                  <c:v>7.3384480175087168</c:v>
                </c:pt>
                <c:pt idx="109">
                  <c:v>7.2773327955769442</c:v>
                </c:pt>
                <c:pt idx="110">
                  <c:v>7.2341127187978271</c:v>
                </c:pt>
                <c:pt idx="111">
                  <c:v>7.1439549154760176</c:v>
                </c:pt>
                <c:pt idx="112">
                  <c:v>7.0963244702669108</c:v>
                </c:pt>
                <c:pt idx="113">
                  <c:v>6.9586189966148044</c:v>
                </c:pt>
                <c:pt idx="114">
                  <c:v>6.9529588666877009</c:v>
                </c:pt>
                <c:pt idx="115">
                  <c:v>6.8896963557899475</c:v>
                </c:pt>
                <c:pt idx="116">
                  <c:v>6.8829187131309917</c:v>
                </c:pt>
                <c:pt idx="117">
                  <c:v>6.8732015850527413</c:v>
                </c:pt>
                <c:pt idx="118">
                  <c:v>6.8701233096667389</c:v>
                </c:pt>
                <c:pt idx="119">
                  <c:v>6.857758384957017</c:v>
                </c:pt>
                <c:pt idx="120">
                  <c:v>6.71820466701939</c:v>
                </c:pt>
                <c:pt idx="121">
                  <c:v>6.5334088064281923</c:v>
                </c:pt>
                <c:pt idx="122">
                  <c:v>6.4130410797047963</c:v>
                </c:pt>
                <c:pt idx="123">
                  <c:v>6.360009178755484</c:v>
                </c:pt>
                <c:pt idx="124">
                  <c:v>6.2216125756943947</c:v>
                </c:pt>
              </c:numCache>
            </c:numRef>
          </c:xVal>
          <c:yVal>
            <c:numRef>
              <c:f>'Final Sheet'!$F$2:$F$126</c:f>
              <c:numCache>
                <c:formatCode>General</c:formatCode>
                <c:ptCount val="125"/>
                <c:pt idx="0">
                  <c:v>2.3944643540000001</c:v>
                </c:pt>
                <c:pt idx="1">
                  <c:v>-6.4879079400000004</c:v>
                </c:pt>
                <c:pt idx="2">
                  <c:v>-1.4983601</c:v>
                </c:pt>
                <c:pt idx="3">
                  <c:v>3.2285059999999997E-2</c:v>
                </c:pt>
                <c:pt idx="4">
                  <c:v>1.6281681699999999</c:v>
                </c:pt>
                <c:pt idx="5">
                  <c:v>6.9048667970000004</c:v>
                </c:pt>
                <c:pt idx="6">
                  <c:v>4.0521528670000002</c:v>
                </c:pt>
                <c:pt idx="7">
                  <c:v>1.47701806</c:v>
                </c:pt>
                <c:pt idx="8">
                  <c:v>2.3175580490000001</c:v>
                </c:pt>
                <c:pt idx="9">
                  <c:v>4.3572596209999999</c:v>
                </c:pt>
                <c:pt idx="10">
                  <c:v>9.3522822879999996</c:v>
                </c:pt>
                <c:pt idx="11">
                  <c:v>3.0221599260000001</c:v>
                </c:pt>
                <c:pt idx="12">
                  <c:v>2.2224310709999999</c:v>
                </c:pt>
                <c:pt idx="13">
                  <c:v>2.0760524619999998</c:v>
                </c:pt>
                <c:pt idx="14">
                  <c:v>4.6669115410000002</c:v>
                </c:pt>
                <c:pt idx="15">
                  <c:v>3.930401383</c:v>
                </c:pt>
                <c:pt idx="16">
                  <c:v>2.9163543519999999</c:v>
                </c:pt>
                <c:pt idx="17">
                  <c:v>4.0180319139999998</c:v>
                </c:pt>
                <c:pt idx="18">
                  <c:v>0.40994382299999998</c:v>
                </c:pt>
                <c:pt idx="19">
                  <c:v>-1.7394679799999999</c:v>
                </c:pt>
                <c:pt idx="20">
                  <c:v>2.9418140579999998</c:v>
                </c:pt>
                <c:pt idx="21">
                  <c:v>1.3918646969999999</c:v>
                </c:pt>
                <c:pt idx="22">
                  <c:v>1.129718408</c:v>
                </c:pt>
                <c:pt idx="23">
                  <c:v>0.17262361300000001</c:v>
                </c:pt>
                <c:pt idx="24">
                  <c:v>4.2001845629999996</c:v>
                </c:pt>
                <c:pt idx="25">
                  <c:v>4.6560904340000002</c:v>
                </c:pt>
                <c:pt idx="26">
                  <c:v>3.6401085790000001</c:v>
                </c:pt>
                <c:pt idx="27">
                  <c:v>4.5298837279999997</c:v>
                </c:pt>
                <c:pt idx="28">
                  <c:v>3.029375173</c:v>
                </c:pt>
                <c:pt idx="29">
                  <c:v>3.4058810820000001</c:v>
                </c:pt>
                <c:pt idx="30">
                  <c:v>5.083689219</c:v>
                </c:pt>
                <c:pt idx="31">
                  <c:v>6.2554452820000002</c:v>
                </c:pt>
                <c:pt idx="32">
                  <c:v>4.168720059</c:v>
                </c:pt>
                <c:pt idx="33">
                  <c:v>3.6964829340000001</c:v>
                </c:pt>
                <c:pt idx="34">
                  <c:v>12.48040634</c:v>
                </c:pt>
                <c:pt idx="35">
                  <c:v>3.2033789179999999</c:v>
                </c:pt>
                <c:pt idx="36">
                  <c:v>6.0062609660000001</c:v>
                </c:pt>
                <c:pt idx="37">
                  <c:v>5.5162697429999996</c:v>
                </c:pt>
                <c:pt idx="38">
                  <c:v>-1.0832449200000001</c:v>
                </c:pt>
                <c:pt idx="39">
                  <c:v>3.2250848190000001</c:v>
                </c:pt>
                <c:pt idx="40">
                  <c:v>-1.73680981</c:v>
                </c:pt>
                <c:pt idx="41">
                  <c:v>3.886473493</c:v>
                </c:pt>
                <c:pt idx="42">
                  <c:v>6.2318507040000002</c:v>
                </c:pt>
                <c:pt idx="43">
                  <c:v>5.2466156469999996</c:v>
                </c:pt>
                <c:pt idx="44">
                  <c:v>2.398460118</c:v>
                </c:pt>
                <c:pt idx="45">
                  <c:v>5.4175310650000004</c:v>
                </c:pt>
                <c:pt idx="46">
                  <c:v>1.038413655</c:v>
                </c:pt>
                <c:pt idx="47">
                  <c:v>3.6848621549999998</c:v>
                </c:pt>
                <c:pt idx="48">
                  <c:v>2.6726728629999998</c:v>
                </c:pt>
                <c:pt idx="49">
                  <c:v>2.2535543499999999</c:v>
                </c:pt>
                <c:pt idx="50">
                  <c:v>1.4883962369999999</c:v>
                </c:pt>
                <c:pt idx="51">
                  <c:v>4.2199341239999999</c:v>
                </c:pt>
                <c:pt idx="52">
                  <c:v>3.5689709810000001</c:v>
                </c:pt>
                <c:pt idx="53">
                  <c:v>6.9035414040000003</c:v>
                </c:pt>
                <c:pt idx="54">
                  <c:v>13.958223</c:v>
                </c:pt>
                <c:pt idx="55">
                  <c:v>3.8680320149999998</c:v>
                </c:pt>
                <c:pt idx="56">
                  <c:v>5.4038972940000001</c:v>
                </c:pt>
                <c:pt idx="57">
                  <c:v>3.4920470520000002</c:v>
                </c:pt>
                <c:pt idx="58">
                  <c:v>2.177450119</c:v>
                </c:pt>
                <c:pt idx="59">
                  <c:v>-5.6777371099999998</c:v>
                </c:pt>
                <c:pt idx="60">
                  <c:v>7.5793404290000002</c:v>
                </c:pt>
                <c:pt idx="61">
                  <c:v>3.7882728069999998</c:v>
                </c:pt>
                <c:pt idx="62">
                  <c:v>6.1306757899999997</c:v>
                </c:pt>
                <c:pt idx="63">
                  <c:v>10.141933099999999</c:v>
                </c:pt>
                <c:pt idx="64">
                  <c:v>4.5522158209999999</c:v>
                </c:pt>
                <c:pt idx="65">
                  <c:v>2.391798418</c:v>
                </c:pt>
                <c:pt idx="66">
                  <c:v>9.0365253190000008</c:v>
                </c:pt>
                <c:pt idx="67">
                  <c:v>4.9712413770000001</c:v>
                </c:pt>
                <c:pt idx="68">
                  <c:v>4.9999158609999999</c:v>
                </c:pt>
                <c:pt idx="69">
                  <c:v>-0.72665336999999997</c:v>
                </c:pt>
                <c:pt idx="70">
                  <c:v>0.75946792399999996</c:v>
                </c:pt>
                <c:pt idx="71">
                  <c:v>2.0384471980000001</c:v>
                </c:pt>
                <c:pt idx="72">
                  <c:v>1.623260334</c:v>
                </c:pt>
                <c:pt idx="73">
                  <c:v>4.034467351</c:v>
                </c:pt>
                <c:pt idx="74">
                  <c:v>1.516155269</c:v>
                </c:pt>
                <c:pt idx="75">
                  <c:v>8.2318757000000006E-2</c:v>
                </c:pt>
                <c:pt idx="76">
                  <c:v>14.60530651</c:v>
                </c:pt>
                <c:pt idx="77">
                  <c:v>0.10718781199999999</c:v>
                </c:pt>
                <c:pt idx="78">
                  <c:v>1.8726410090000001</c:v>
                </c:pt>
                <c:pt idx="79">
                  <c:v>0.354893289</c:v>
                </c:pt>
                <c:pt idx="80">
                  <c:v>8.4016689380000003</c:v>
                </c:pt>
                <c:pt idx="81">
                  <c:v>1.9738253539999999</c:v>
                </c:pt>
                <c:pt idx="82">
                  <c:v>1.2239191999999999E-2</c:v>
                </c:pt>
                <c:pt idx="83">
                  <c:v>0.13642857799999999</c:v>
                </c:pt>
                <c:pt idx="84">
                  <c:v>4.3294730890000004</c:v>
                </c:pt>
                <c:pt idx="85">
                  <c:v>0.28125560999999999</c:v>
                </c:pt>
                <c:pt idx="86">
                  <c:v>1.4315919989999999</c:v>
                </c:pt>
                <c:pt idx="87">
                  <c:v>-5.0289928899999996</c:v>
                </c:pt>
                <c:pt idx="88">
                  <c:v>2.5096616059999999</c:v>
                </c:pt>
                <c:pt idx="89">
                  <c:v>2.3475097229999999</c:v>
                </c:pt>
                <c:pt idx="90">
                  <c:v>1.7481432370000001</c:v>
                </c:pt>
                <c:pt idx="91">
                  <c:v>1.192493222</c:v>
                </c:pt>
                <c:pt idx="92">
                  <c:v>2.6389328019999998</c:v>
                </c:pt>
                <c:pt idx="93">
                  <c:v>2.41292398</c:v>
                </c:pt>
                <c:pt idx="94">
                  <c:v>0.34796002500000001</c:v>
                </c:pt>
                <c:pt idx="95">
                  <c:v>3.3650833609999999</c:v>
                </c:pt>
                <c:pt idx="96">
                  <c:v>2.949474484</c:v>
                </c:pt>
                <c:pt idx="97">
                  <c:v>0.82625403900000005</c:v>
                </c:pt>
                <c:pt idx="98">
                  <c:v>1.4924882589999999</c:v>
                </c:pt>
                <c:pt idx="99">
                  <c:v>2.2547265329999999</c:v>
                </c:pt>
                <c:pt idx="100">
                  <c:v>8.9483012580000008</c:v>
                </c:pt>
                <c:pt idx="101">
                  <c:v>8.2323965030000004</c:v>
                </c:pt>
                <c:pt idx="102">
                  <c:v>1.9324012429999999</c:v>
                </c:pt>
                <c:pt idx="103">
                  <c:v>0.69164598300000002</c:v>
                </c:pt>
                <c:pt idx="104">
                  <c:v>0.19459895299999999</c:v>
                </c:pt>
                <c:pt idx="105">
                  <c:v>0.45199268100000001</c:v>
                </c:pt>
                <c:pt idx="106">
                  <c:v>2.0873503219999998</c:v>
                </c:pt>
                <c:pt idx="107">
                  <c:v>10.5411242</c:v>
                </c:pt>
                <c:pt idx="108">
                  <c:v>0.38998075399999999</c:v>
                </c:pt>
                <c:pt idx="109">
                  <c:v>-0.22328676</c:v>
                </c:pt>
                <c:pt idx="110">
                  <c:v>0.160405405</c:v>
                </c:pt>
                <c:pt idx="111">
                  <c:v>2.1577053749999999</c:v>
                </c:pt>
                <c:pt idx="112">
                  <c:v>1.897811004</c:v>
                </c:pt>
                <c:pt idx="113">
                  <c:v>1.6243228750000001</c:v>
                </c:pt>
                <c:pt idx="114">
                  <c:v>1.1100042160000001</c:v>
                </c:pt>
                <c:pt idx="115">
                  <c:v>2.9803331590000002</c:v>
                </c:pt>
                <c:pt idx="116">
                  <c:v>2.2912148879999998</c:v>
                </c:pt>
                <c:pt idx="117">
                  <c:v>3.4440262750000001</c:v>
                </c:pt>
                <c:pt idx="118">
                  <c:v>6.480676163</c:v>
                </c:pt>
                <c:pt idx="119">
                  <c:v>-2.00429827</c:v>
                </c:pt>
                <c:pt idx="120">
                  <c:v>3.5964079359999999</c:v>
                </c:pt>
                <c:pt idx="121">
                  <c:v>2.0013162279999999</c:v>
                </c:pt>
                <c:pt idx="122">
                  <c:v>6.2588083430000001</c:v>
                </c:pt>
                <c:pt idx="123">
                  <c:v>16.00429471</c:v>
                </c:pt>
                <c:pt idx="124">
                  <c:v>3.0527259249999998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6F-49E4-8952-3523064B7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568863"/>
        <c:axId val="393576063"/>
      </c:scatterChart>
      <c:valAx>
        <c:axId val="39356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76063"/>
        <c:crosses val="autoZero"/>
        <c:crossBetween val="midCat"/>
      </c:valAx>
      <c:valAx>
        <c:axId val="3935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6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Mobile Subscriptions</a:t>
            </a:r>
            <a:r>
              <a:rPr lang="en-US" baseline="0"/>
              <a:t> vs GDP per Capita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27709973753281"/>
                  <c:y val="-0.112919218431029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'Final Sheet'!$C$2:$C$126</c:f>
              <c:numCache>
                <c:formatCode>General</c:formatCode>
                <c:ptCount val="125"/>
                <c:pt idx="0">
                  <c:v>11.601572778918319</c:v>
                </c:pt>
                <c:pt idx="1">
                  <c:v>11.563530039244521</c:v>
                </c:pt>
                <c:pt idx="2">
                  <c:v>11.455238201078446</c:v>
                </c:pt>
                <c:pt idx="3">
                  <c:v>11.393031729603598</c:v>
                </c:pt>
                <c:pt idx="4">
                  <c:v>11.247099451256936</c:v>
                </c:pt>
                <c:pt idx="5">
                  <c:v>11.124038586960536</c:v>
                </c:pt>
                <c:pt idx="6">
                  <c:v>11.084747140137008</c:v>
                </c:pt>
                <c:pt idx="7">
                  <c:v>10.987380687334896</c:v>
                </c:pt>
                <c:pt idx="8">
                  <c:v>10.937682214092023</c:v>
                </c:pt>
                <c:pt idx="9">
                  <c:v>10.914172073547821</c:v>
                </c:pt>
                <c:pt idx="10">
                  <c:v>10.91211843440294</c:v>
                </c:pt>
                <c:pt idx="11">
                  <c:v>10.865454510063607</c:v>
                </c:pt>
                <c:pt idx="12">
                  <c:v>10.83182047925489</c:v>
                </c:pt>
                <c:pt idx="13">
                  <c:v>10.829857676241655</c:v>
                </c:pt>
                <c:pt idx="14">
                  <c:v>10.828550896282051</c:v>
                </c:pt>
                <c:pt idx="15">
                  <c:v>10.801608387084805</c:v>
                </c:pt>
                <c:pt idx="16">
                  <c:v>10.759115829878199</c:v>
                </c:pt>
                <c:pt idx="17">
                  <c:v>10.62105022436505</c:v>
                </c:pt>
                <c:pt idx="18">
                  <c:v>10.596178856700218</c:v>
                </c:pt>
                <c:pt idx="19">
                  <c:v>10.508702789787989</c:v>
                </c:pt>
                <c:pt idx="20">
                  <c:v>10.48161393457265</c:v>
                </c:pt>
                <c:pt idx="21">
                  <c:v>10.458016274693851</c:v>
                </c:pt>
                <c:pt idx="22">
                  <c:v>10.436044645128055</c:v>
                </c:pt>
                <c:pt idx="23">
                  <c:v>10.411239748156701</c:v>
                </c:pt>
                <c:pt idx="24">
                  <c:v>10.324515000156007</c:v>
                </c:pt>
                <c:pt idx="25">
                  <c:v>10.319546305978465</c:v>
                </c:pt>
                <c:pt idx="26">
                  <c:v>10.252745703437657</c:v>
                </c:pt>
                <c:pt idx="27">
                  <c:v>10.252043017034934</c:v>
                </c:pt>
                <c:pt idx="28">
                  <c:v>10.249988748460938</c:v>
                </c:pt>
                <c:pt idx="29">
                  <c:v>10.130056594153579</c:v>
                </c:pt>
                <c:pt idx="30">
                  <c:v>10.111335512431898</c:v>
                </c:pt>
                <c:pt idx="31">
                  <c:v>10.052923545674085</c:v>
                </c:pt>
                <c:pt idx="32">
                  <c:v>9.9672974207706382</c:v>
                </c:pt>
                <c:pt idx="33">
                  <c:v>9.9468594596641893</c:v>
                </c:pt>
                <c:pt idx="34">
                  <c:v>9.9436027981682127</c:v>
                </c:pt>
                <c:pt idx="35">
                  <c:v>9.9144820756545116</c:v>
                </c:pt>
                <c:pt idx="36">
                  <c:v>9.8464521246625072</c:v>
                </c:pt>
                <c:pt idx="37">
                  <c:v>9.8236616471926013</c:v>
                </c:pt>
                <c:pt idx="38">
                  <c:v>9.8216280888937444</c:v>
                </c:pt>
                <c:pt idx="39">
                  <c:v>9.7629952460099947</c:v>
                </c:pt>
                <c:pt idx="40">
                  <c:v>9.6562827303871419</c:v>
                </c:pt>
                <c:pt idx="41">
                  <c:v>9.6488244250439532</c:v>
                </c:pt>
                <c:pt idx="42">
                  <c:v>9.6424874361953457</c:v>
                </c:pt>
                <c:pt idx="43">
                  <c:v>9.5467551069442074</c:v>
                </c:pt>
                <c:pt idx="44">
                  <c:v>9.5441081978301145</c:v>
                </c:pt>
                <c:pt idx="45">
                  <c:v>9.5197277311074942</c:v>
                </c:pt>
                <c:pt idx="46">
                  <c:v>9.470440968587436</c:v>
                </c:pt>
                <c:pt idx="47">
                  <c:v>9.3719971929651855</c:v>
                </c:pt>
                <c:pt idx="48">
                  <c:v>9.3418767508835661</c:v>
                </c:pt>
                <c:pt idx="49">
                  <c:v>9.3285979261419598</c:v>
                </c:pt>
                <c:pt idx="50">
                  <c:v>9.2963198650900551</c:v>
                </c:pt>
                <c:pt idx="51">
                  <c:v>9.2346916287503102</c:v>
                </c:pt>
                <c:pt idx="52">
                  <c:v>9.2207109016621676</c:v>
                </c:pt>
                <c:pt idx="53">
                  <c:v>9.2128192071241788</c:v>
                </c:pt>
                <c:pt idx="54">
                  <c:v>9.2127917249538829</c:v>
                </c:pt>
                <c:pt idx="55">
                  <c:v>9.1357604383122997</c:v>
                </c:pt>
                <c:pt idx="56">
                  <c:v>9.0370825047683407</c:v>
                </c:pt>
                <c:pt idx="57">
                  <c:v>9.0274637483611393</c:v>
                </c:pt>
                <c:pt idx="58">
                  <c:v>8.9865276042866373</c:v>
                </c:pt>
                <c:pt idx="59">
                  <c:v>8.9581019166280154</c:v>
                </c:pt>
                <c:pt idx="60">
                  <c:v>8.9563460274969806</c:v>
                </c:pt>
                <c:pt idx="61">
                  <c:v>8.9431919288545245</c:v>
                </c:pt>
                <c:pt idx="62">
                  <c:v>8.9367239172932447</c:v>
                </c:pt>
                <c:pt idx="63">
                  <c:v>8.9344945934050131</c:v>
                </c:pt>
                <c:pt idx="64">
                  <c:v>8.902541349073875</c:v>
                </c:pt>
                <c:pt idx="65">
                  <c:v>8.8406312539094962</c:v>
                </c:pt>
                <c:pt idx="66">
                  <c:v>8.8143076289168878</c:v>
                </c:pt>
                <c:pt idx="67">
                  <c:v>8.8069398915567039</c:v>
                </c:pt>
                <c:pt idx="68">
                  <c:v>8.790569592965797</c:v>
                </c:pt>
                <c:pt idx="69">
                  <c:v>8.7827418495468912</c:v>
                </c:pt>
                <c:pt idx="70">
                  <c:v>8.7819523212875765</c:v>
                </c:pt>
                <c:pt idx="71">
                  <c:v>8.7332115708747633</c:v>
                </c:pt>
                <c:pt idx="72">
                  <c:v>8.6972850893672984</c:v>
                </c:pt>
                <c:pt idx="73">
                  <c:v>8.6559626727691885</c:v>
                </c:pt>
                <c:pt idx="74">
                  <c:v>8.5864769803159486</c:v>
                </c:pt>
                <c:pt idx="75">
                  <c:v>8.5320033968953517</c:v>
                </c:pt>
                <c:pt idx="76">
                  <c:v>8.5158953235499872</c:v>
                </c:pt>
                <c:pt idx="77">
                  <c:v>8.5092221751070092</c:v>
                </c:pt>
                <c:pt idx="78">
                  <c:v>8.4618569669685826</c:v>
                </c:pt>
                <c:pt idx="79">
                  <c:v>8.4598192091666178</c:v>
                </c:pt>
                <c:pt idx="80">
                  <c:v>8.3778849345102611</c:v>
                </c:pt>
                <c:pt idx="81">
                  <c:v>8.3738426858433872</c:v>
                </c:pt>
                <c:pt idx="82">
                  <c:v>8.3474627069336194</c:v>
                </c:pt>
                <c:pt idx="83">
                  <c:v>8.3427614440585209</c:v>
                </c:pt>
                <c:pt idx="84">
                  <c:v>8.3303087050748239</c:v>
                </c:pt>
                <c:pt idx="85">
                  <c:v>8.2672337901000645</c:v>
                </c:pt>
                <c:pt idx="86">
                  <c:v>8.2180571938264091</c:v>
                </c:pt>
                <c:pt idx="87">
                  <c:v>8.2112420919020543</c:v>
                </c:pt>
                <c:pt idx="88">
                  <c:v>8.2036758328379413</c:v>
                </c:pt>
                <c:pt idx="89">
                  <c:v>8.1741588781879333</c:v>
                </c:pt>
                <c:pt idx="90">
                  <c:v>8.1499303068229754</c:v>
                </c:pt>
                <c:pt idx="91">
                  <c:v>8.1145151458385971</c:v>
                </c:pt>
                <c:pt idx="92">
                  <c:v>8.0567571092762691</c:v>
                </c:pt>
                <c:pt idx="93">
                  <c:v>8.0074636234282632</c:v>
                </c:pt>
                <c:pt idx="94">
                  <c:v>7.9070943865193017</c:v>
                </c:pt>
                <c:pt idx="95">
                  <c:v>7.8712494082054283</c:v>
                </c:pt>
                <c:pt idx="96">
                  <c:v>7.8550278350730833</c:v>
                </c:pt>
                <c:pt idx="97">
                  <c:v>7.8385012289556473</c:v>
                </c:pt>
                <c:pt idx="98">
                  <c:v>7.761084183150774</c:v>
                </c:pt>
                <c:pt idx="99">
                  <c:v>7.7550694020942448</c:v>
                </c:pt>
                <c:pt idx="100">
                  <c:v>7.7514884362149825</c:v>
                </c:pt>
                <c:pt idx="101">
                  <c:v>7.7505676115569075</c:v>
                </c:pt>
                <c:pt idx="102">
                  <c:v>7.709708087479834</c:v>
                </c:pt>
                <c:pt idx="103">
                  <c:v>7.6542360438718395</c:v>
                </c:pt>
                <c:pt idx="104">
                  <c:v>7.4734249110833026</c:v>
                </c:pt>
                <c:pt idx="105">
                  <c:v>7.4614795631843265</c:v>
                </c:pt>
                <c:pt idx="106">
                  <c:v>7.3808025653506242</c:v>
                </c:pt>
                <c:pt idx="107">
                  <c:v>7.3613932877759476</c:v>
                </c:pt>
                <c:pt idx="108">
                  <c:v>7.3384480175087168</c:v>
                </c:pt>
                <c:pt idx="109">
                  <c:v>7.2773327955769442</c:v>
                </c:pt>
                <c:pt idx="110">
                  <c:v>7.2341127187978271</c:v>
                </c:pt>
                <c:pt idx="111">
                  <c:v>7.1439549154760176</c:v>
                </c:pt>
                <c:pt idx="112">
                  <c:v>7.0963244702669108</c:v>
                </c:pt>
                <c:pt idx="113">
                  <c:v>6.9586189966148044</c:v>
                </c:pt>
                <c:pt idx="114">
                  <c:v>6.9529588666877009</c:v>
                </c:pt>
                <c:pt idx="115">
                  <c:v>6.8896963557899475</c:v>
                </c:pt>
                <c:pt idx="116">
                  <c:v>6.8829187131309917</c:v>
                </c:pt>
                <c:pt idx="117">
                  <c:v>6.8732015850527413</c:v>
                </c:pt>
                <c:pt idx="118">
                  <c:v>6.8701233096667389</c:v>
                </c:pt>
                <c:pt idx="119">
                  <c:v>6.857758384957017</c:v>
                </c:pt>
                <c:pt idx="120">
                  <c:v>6.71820466701939</c:v>
                </c:pt>
                <c:pt idx="121">
                  <c:v>6.5334088064281923</c:v>
                </c:pt>
                <c:pt idx="122">
                  <c:v>6.4130410797047963</c:v>
                </c:pt>
                <c:pt idx="123">
                  <c:v>6.360009178755484</c:v>
                </c:pt>
                <c:pt idx="124">
                  <c:v>6.2216125756943947</c:v>
                </c:pt>
              </c:numCache>
            </c:numRef>
          </c:xVal>
          <c:yVal>
            <c:numRef>
              <c:f>'Final Sheet'!$G$2:$G$126</c:f>
              <c:numCache>
                <c:formatCode>General</c:formatCode>
                <c:ptCount val="125"/>
                <c:pt idx="0">
                  <c:v>111.6571962</c:v>
                </c:pt>
                <c:pt idx="1">
                  <c:v>110.6088513</c:v>
                </c:pt>
                <c:pt idx="2">
                  <c:v>123.9712281</c:v>
                </c:pt>
                <c:pt idx="3">
                  <c:v>162.24853970000001</c:v>
                </c:pt>
                <c:pt idx="4">
                  <c:v>108.7856407</c:v>
                </c:pt>
                <c:pt idx="5">
                  <c:v>126.483541</c:v>
                </c:pt>
                <c:pt idx="6">
                  <c:v>109.4691711</c:v>
                </c:pt>
                <c:pt idx="7">
                  <c:v>115.82055630000001</c:v>
                </c:pt>
                <c:pt idx="8">
                  <c:v>91.238669000000002</c:v>
                </c:pt>
                <c:pt idx="9">
                  <c:v>151.13796310000001</c:v>
                </c:pt>
                <c:pt idx="10">
                  <c:v>140.78166450000001</c:v>
                </c:pt>
                <c:pt idx="11">
                  <c:v>121.1664574</c:v>
                </c:pt>
                <c:pt idx="12">
                  <c:v>101.6803558</c:v>
                </c:pt>
                <c:pt idx="13">
                  <c:v>124.1582643</c:v>
                </c:pt>
                <c:pt idx="14">
                  <c:v>128.0232934</c:v>
                </c:pt>
                <c:pt idx="15">
                  <c:v>115.9841878</c:v>
                </c:pt>
                <c:pt idx="16">
                  <c:v>119.8339995</c:v>
                </c:pt>
                <c:pt idx="17">
                  <c:v>115.9505194</c:v>
                </c:pt>
                <c:pt idx="18">
                  <c:v>168.35015759999999</c:v>
                </c:pt>
                <c:pt idx="19">
                  <c:v>116.1084393</c:v>
                </c:pt>
                <c:pt idx="20">
                  <c:v>131.6739656</c:v>
                </c:pt>
                <c:pt idx="21">
                  <c:v>148.68360770000001</c:v>
                </c:pt>
                <c:pt idx="22">
                  <c:v>168.6029437</c:v>
                </c:pt>
                <c:pt idx="23">
                  <c:v>146.71583609999999</c:v>
                </c:pt>
                <c:pt idx="24">
                  <c:v>139.63614290000001</c:v>
                </c:pt>
                <c:pt idx="25">
                  <c:v>123.3995288</c:v>
                </c:pt>
                <c:pt idx="26">
                  <c:v>126.4591808</c:v>
                </c:pt>
                <c:pt idx="27">
                  <c:v>152.2707729</c:v>
                </c:pt>
                <c:pt idx="28">
                  <c:v>128.10529500000001</c:v>
                </c:pt>
                <c:pt idx="29">
                  <c:v>135.83415070000001</c:v>
                </c:pt>
                <c:pt idx="30">
                  <c:v>122.801309</c:v>
                </c:pt>
                <c:pt idx="31">
                  <c:v>136.80057160000001</c:v>
                </c:pt>
                <c:pt idx="32">
                  <c:v>136.0292896</c:v>
                </c:pt>
                <c:pt idx="33">
                  <c:v>109.02695610000001</c:v>
                </c:pt>
                <c:pt idx="34">
                  <c:v>139.82880130000001</c:v>
                </c:pt>
                <c:pt idx="35">
                  <c:v>115.20262750000001</c:v>
                </c:pt>
                <c:pt idx="36">
                  <c:v>137.0021481</c:v>
                </c:pt>
                <c:pt idx="37">
                  <c:v>114.6771957</c:v>
                </c:pt>
                <c:pt idx="38">
                  <c:v>105.79384829999999</c:v>
                </c:pt>
                <c:pt idx="39">
                  <c:v>152.06217179999999</c:v>
                </c:pt>
                <c:pt idx="40">
                  <c:v>168.47583130000001</c:v>
                </c:pt>
                <c:pt idx="41">
                  <c:v>121.1419429</c:v>
                </c:pt>
                <c:pt idx="42">
                  <c:v>135.11428100000001</c:v>
                </c:pt>
                <c:pt idx="43">
                  <c:v>116.6791633</c:v>
                </c:pt>
                <c:pt idx="44">
                  <c:v>131.4835563</c:v>
                </c:pt>
                <c:pt idx="45">
                  <c:v>136.51837499999999</c:v>
                </c:pt>
                <c:pt idx="46">
                  <c:v>124.195249</c:v>
                </c:pt>
                <c:pt idx="47">
                  <c:v>138.20844109999999</c:v>
                </c:pt>
                <c:pt idx="48">
                  <c:v>105.72062409999999</c:v>
                </c:pt>
                <c:pt idx="49">
                  <c:v>125.6415835</c:v>
                </c:pt>
                <c:pt idx="50">
                  <c:v>103.7205936</c:v>
                </c:pt>
                <c:pt idx="51">
                  <c:v>164.30927879999999</c:v>
                </c:pt>
                <c:pt idx="52">
                  <c:v>90.376016390000004</c:v>
                </c:pt>
                <c:pt idx="53">
                  <c:v>129.8131496</c:v>
                </c:pt>
                <c:pt idx="54">
                  <c:v>207.27814939999999</c:v>
                </c:pt>
                <c:pt idx="55">
                  <c:v>101.24546890000001</c:v>
                </c:pt>
                <c:pt idx="56">
                  <c:v>123.2331872</c:v>
                </c:pt>
                <c:pt idx="57">
                  <c:v>178.2050189</c:v>
                </c:pt>
                <c:pt idx="58">
                  <c:v>128.3149994</c:v>
                </c:pt>
                <c:pt idx="59">
                  <c:v>107.5062961</c:v>
                </c:pt>
                <c:pt idx="60">
                  <c:v>98.395039199999999</c:v>
                </c:pt>
                <c:pt idx="61">
                  <c:v>118.9443529</c:v>
                </c:pt>
                <c:pt idx="62">
                  <c:v>111.3030796</c:v>
                </c:pt>
                <c:pt idx="63">
                  <c:v>49.538048680000003</c:v>
                </c:pt>
                <c:pt idx="64">
                  <c:v>124.1193229</c:v>
                </c:pt>
                <c:pt idx="65">
                  <c:v>176.2227925</c:v>
                </c:pt>
                <c:pt idx="66">
                  <c:v>154.01356179999999</c:v>
                </c:pt>
                <c:pt idx="67">
                  <c:v>156.19516110000001</c:v>
                </c:pt>
                <c:pt idx="68">
                  <c:v>130.5400722</c:v>
                </c:pt>
                <c:pt idx="69">
                  <c:v>99.132366189999999</c:v>
                </c:pt>
                <c:pt idx="70">
                  <c:v>98.130902570000003</c:v>
                </c:pt>
                <c:pt idx="71">
                  <c:v>128.0880573</c:v>
                </c:pt>
                <c:pt idx="72">
                  <c:v>192.97309379999999</c:v>
                </c:pt>
                <c:pt idx="73">
                  <c:v>137.18255189999999</c:v>
                </c:pt>
                <c:pt idx="74">
                  <c:v>115.1564357</c:v>
                </c:pt>
                <c:pt idx="75">
                  <c:v>183.24895599999999</c:v>
                </c:pt>
                <c:pt idx="76">
                  <c:v>142.80858180000001</c:v>
                </c:pt>
                <c:pt idx="77">
                  <c:v>107.7871159</c:v>
                </c:pt>
                <c:pt idx="78">
                  <c:v>122.87301220000001</c:v>
                </c:pt>
                <c:pt idx="79">
                  <c:v>162.71294370000001</c:v>
                </c:pt>
                <c:pt idx="80">
                  <c:v>100.5578161</c:v>
                </c:pt>
                <c:pt idx="81">
                  <c:v>67.745707429999996</c:v>
                </c:pt>
                <c:pt idx="82">
                  <c:v>101.5715043</c:v>
                </c:pt>
                <c:pt idx="83">
                  <c:v>120.26114490000001</c:v>
                </c:pt>
                <c:pt idx="84">
                  <c:v>137.8524228</c:v>
                </c:pt>
                <c:pt idx="85">
                  <c:v>121.49170119999999</c:v>
                </c:pt>
                <c:pt idx="86">
                  <c:v>131.87536539999999</c:v>
                </c:pt>
                <c:pt idx="87">
                  <c:v>66.600807309999993</c:v>
                </c:pt>
                <c:pt idx="88">
                  <c:v>74.014834039999997</c:v>
                </c:pt>
                <c:pt idx="89">
                  <c:v>147.42892639999999</c:v>
                </c:pt>
                <c:pt idx="90">
                  <c:v>141.8700024</c:v>
                </c:pt>
                <c:pt idx="91">
                  <c:v>151.72675760000001</c:v>
                </c:pt>
                <c:pt idx="92">
                  <c:v>66.466773119999999</c:v>
                </c:pt>
                <c:pt idx="93">
                  <c:v>75.85514234</c:v>
                </c:pt>
                <c:pt idx="94">
                  <c:v>109.8665408</c:v>
                </c:pt>
                <c:pt idx="95">
                  <c:v>93.62592592</c:v>
                </c:pt>
                <c:pt idx="96">
                  <c:v>105.4716433</c:v>
                </c:pt>
                <c:pt idx="97">
                  <c:v>88.99583149</c:v>
                </c:pt>
                <c:pt idx="98">
                  <c:v>80.181800769999995</c:v>
                </c:pt>
                <c:pt idx="99">
                  <c:v>161.2318334</c:v>
                </c:pt>
                <c:pt idx="100">
                  <c:v>113.3915066</c:v>
                </c:pt>
                <c:pt idx="101">
                  <c:v>104.27848470000001</c:v>
                </c:pt>
                <c:pt idx="102">
                  <c:v>120.803416</c:v>
                </c:pt>
                <c:pt idx="103">
                  <c:v>121.16899909999999</c:v>
                </c:pt>
                <c:pt idx="104">
                  <c:v>65.188932929999993</c:v>
                </c:pt>
                <c:pt idx="105">
                  <c:v>106.925973</c:v>
                </c:pt>
                <c:pt idx="106">
                  <c:v>89.827419050000003</c:v>
                </c:pt>
                <c:pt idx="107">
                  <c:v>118.1502935</c:v>
                </c:pt>
                <c:pt idx="108">
                  <c:v>79.105053909999995</c:v>
                </c:pt>
                <c:pt idx="109">
                  <c:v>98.437260120000005</c:v>
                </c:pt>
                <c:pt idx="110">
                  <c:v>121.1144874</c:v>
                </c:pt>
                <c:pt idx="111">
                  <c:v>105.7450194</c:v>
                </c:pt>
                <c:pt idx="112">
                  <c:v>93.015974619999994</c:v>
                </c:pt>
                <c:pt idx="113">
                  <c:v>63.844208070000001</c:v>
                </c:pt>
                <c:pt idx="114">
                  <c:v>70.208403860000004</c:v>
                </c:pt>
                <c:pt idx="115">
                  <c:v>56.964298880000001</c:v>
                </c:pt>
                <c:pt idx="116">
                  <c:v>80.595222489999998</c:v>
                </c:pt>
                <c:pt idx="117">
                  <c:v>65.437779550000002</c:v>
                </c:pt>
                <c:pt idx="118">
                  <c:v>70.1401118</c:v>
                </c:pt>
                <c:pt idx="119">
                  <c:v>72.2147547</c:v>
                </c:pt>
                <c:pt idx="120">
                  <c:v>113.99614680000001</c:v>
                </c:pt>
                <c:pt idx="121">
                  <c:v>48.677353420000003</c:v>
                </c:pt>
                <c:pt idx="122">
                  <c:v>63.377054800000003</c:v>
                </c:pt>
                <c:pt idx="123">
                  <c:v>45.817819970000002</c:v>
                </c:pt>
                <c:pt idx="124">
                  <c:v>64.749492410000002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BE-4BD8-A126-208F6D670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594303"/>
        <c:axId val="393596223"/>
      </c:scatterChart>
      <c:valAx>
        <c:axId val="39359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96223"/>
        <c:crosses val="autoZero"/>
        <c:crossBetween val="midCat"/>
      </c:valAx>
      <c:valAx>
        <c:axId val="3935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9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GDP per capita vs Trade Groups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'Bar Graphs'!$G$3</c:f>
              <c:strCache>
                <c:ptCount val="1"/>
                <c:pt idx="0">
                  <c:v>Average GDP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A0B-47D2-999A-8CDC7A38CA5A}"/>
              </c:ext>
            </c:extLst>
          </c:dPt>
          <c:dPt>
            <c:idx val="1"/>
            <c:invertIfNegative val="1"/>
            <c:bubble3D val="0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A0B-47D2-999A-8CDC7A38CA5A}"/>
              </c:ext>
            </c:extLst>
          </c:dPt>
          <c:dPt>
            <c:idx val="2"/>
            <c:invertIfNegative val="1"/>
            <c:bubble3D val="0"/>
            <c:spPr>
              <a:solidFill>
                <a:srgbClr val="274E1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A0B-47D2-999A-8CDC7A38CA5A}"/>
              </c:ext>
            </c:extLst>
          </c:dPt>
          <c:cat>
            <c:strRef>
              <c:f>'Bar Graphs'!$F$4:$F$6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'Bar Graphs'!$G$4:$G$6</c:f>
              <c:numCache>
                <c:formatCode>General</c:formatCode>
                <c:ptCount val="3"/>
                <c:pt idx="0">
                  <c:v>10300.160770914283</c:v>
                </c:pt>
                <c:pt idx="1">
                  <c:v>17724.38549388371</c:v>
                </c:pt>
                <c:pt idx="2">
                  <c:v>23296.673114765967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A0B-47D2-999A-8CDC7A38C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164853"/>
        <c:axId val="359230146"/>
      </c:barChart>
      <c:catAx>
        <c:axId val="624164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Trade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9230146"/>
        <c:crosses val="autoZero"/>
        <c:auto val="1"/>
        <c:lblAlgn val="ctr"/>
        <c:lblOffset val="100"/>
        <c:noMultiLvlLbl val="1"/>
      </c:catAx>
      <c:valAx>
        <c:axId val="359230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GDP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41648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714375</xdr:colOff>
      <xdr:row>0</xdr:row>
      <xdr:rowOff>95250</xdr:rowOff>
    </xdr:from>
    <xdr:ext cx="10791825" cy="4448175"/>
    <xdr:pic>
      <xdr:nvPicPr>
        <xdr:cNvPr id="1996467679" name="Chart1" title="Chart">
          <a:extLst>
            <a:ext uri="{FF2B5EF4-FFF2-40B4-BE49-F238E27FC236}">
              <a16:creationId xmlns:a16="http://schemas.microsoft.com/office/drawing/2014/main" id="{00000000-0008-0000-0600-0000DFADFF76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0</xdr:row>
      <xdr:rowOff>0</xdr:rowOff>
    </xdr:from>
    <xdr:ext cx="10248900" cy="4029075"/>
    <xdr:pic>
      <xdr:nvPicPr>
        <xdr:cNvPr id="430528595" name="Chart2" title="Chart">
          <a:extLst>
            <a:ext uri="{FF2B5EF4-FFF2-40B4-BE49-F238E27FC236}">
              <a16:creationId xmlns:a16="http://schemas.microsoft.com/office/drawing/2014/main" id="{00000000-0008-0000-0700-00005358A919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285750</xdr:colOff>
      <xdr:row>43</xdr:row>
      <xdr:rowOff>19050</xdr:rowOff>
    </xdr:from>
    <xdr:ext cx="7372350" cy="3781425"/>
    <xdr:graphicFrame macro="">
      <xdr:nvGraphicFramePr>
        <xdr:cNvPr id="324233948" name="Chart 5" title="Chart">
          <a:extLst>
            <a:ext uri="{FF2B5EF4-FFF2-40B4-BE49-F238E27FC236}">
              <a16:creationId xmlns:a16="http://schemas.microsoft.com/office/drawing/2014/main" id="{00000000-0008-0000-0800-0000DC6A5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4</xdr:col>
      <xdr:colOff>19049</xdr:colOff>
      <xdr:row>1</xdr:row>
      <xdr:rowOff>19049</xdr:rowOff>
    </xdr:from>
    <xdr:to>
      <xdr:col>14</xdr:col>
      <xdr:colOff>485774</xdr:colOff>
      <xdr:row>14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87A4A-4541-4A0A-B218-97F436CB1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133349</xdr:colOff>
      <xdr:row>17</xdr:row>
      <xdr:rowOff>247651</xdr:rowOff>
    </xdr:from>
    <xdr:to>
      <xdr:col>9</xdr:col>
      <xdr:colOff>390524</xdr:colOff>
      <xdr:row>35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3FEA33-C640-4CD2-B22A-A576FEA98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647700</xdr:colOff>
      <xdr:row>17</xdr:row>
      <xdr:rowOff>247650</xdr:rowOff>
    </xdr:from>
    <xdr:to>
      <xdr:col>17</xdr:col>
      <xdr:colOff>180975</xdr:colOff>
      <xdr:row>35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26BDBF-E867-4779-8DAE-7DE6F3D6F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0</xdr:row>
      <xdr:rowOff>0</xdr:rowOff>
    </xdr:from>
    <xdr:ext cx="9086850" cy="4152900"/>
    <xdr:graphicFrame macro="">
      <xdr:nvGraphicFramePr>
        <xdr:cNvPr id="596197185" name="Chart 7" title="Chart">
          <a:extLst>
            <a:ext uri="{FF2B5EF4-FFF2-40B4-BE49-F238E27FC236}">
              <a16:creationId xmlns:a16="http://schemas.microsoft.com/office/drawing/2014/main" id="{00000000-0008-0000-0900-0000413F8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opLeftCell="A108" workbookViewId="0">
      <selection activeCell="G2" activeCellId="1" sqref="C2:C126 G2:G126"/>
    </sheetView>
  </sheetViews>
  <sheetFormatPr defaultColWidth="12.5703125" defaultRowHeight="15" customHeight="1"/>
  <cols>
    <col min="1" max="1" width="27.7109375" customWidth="1"/>
    <col min="2" max="2" width="23.42578125" customWidth="1"/>
    <col min="3" max="3" width="17.140625" customWidth="1"/>
    <col min="4" max="4" width="36.5703125" customWidth="1"/>
    <col min="5" max="5" width="18.85546875" customWidth="1"/>
    <col min="6" max="6" width="17.140625" customWidth="1"/>
    <col min="7" max="7" width="31.85546875" customWidth="1"/>
    <col min="8" max="8" width="8.5703125" customWidth="1"/>
    <col min="9" max="9" width="12.85546875" customWidth="1"/>
    <col min="10" max="10" width="17.42578125" customWidth="1"/>
    <col min="11" max="11" width="18.140625" customWidth="1"/>
    <col min="12" max="19" width="8.5703125" customWidth="1"/>
    <col min="20" max="20" width="19" customWidth="1"/>
    <col min="21" max="21" width="19.5703125" customWidth="1"/>
    <col min="22" max="26" width="8.5703125" customWidth="1"/>
  </cols>
  <sheetData>
    <row r="1" spans="1:26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L1" s="2"/>
      <c r="M1" s="2"/>
      <c r="N1" s="2"/>
      <c r="O1" s="2"/>
      <c r="P1" s="2"/>
      <c r="Q1" s="2"/>
      <c r="R1" s="2"/>
      <c r="S1" s="2"/>
      <c r="T1" s="1" t="s">
        <v>5</v>
      </c>
      <c r="U1" s="1" t="s">
        <v>2</v>
      </c>
      <c r="V1" s="2"/>
      <c r="W1" s="2"/>
      <c r="X1" s="2"/>
      <c r="Y1" s="2"/>
      <c r="Z1" s="2"/>
    </row>
    <row r="2" spans="1:26" ht="20.25">
      <c r="A2" s="4" t="s">
        <v>7</v>
      </c>
      <c r="B2" s="4">
        <v>109269.52099999999</v>
      </c>
      <c r="C2" s="4">
        <f t="shared" ref="C2:C126" si="0">LN(B2)</f>
        <v>11.601572778918319</v>
      </c>
      <c r="D2" s="4">
        <v>23373.47106</v>
      </c>
      <c r="E2" s="4">
        <v>82.609479836138917</v>
      </c>
      <c r="F2" s="4">
        <v>2.3944643540000001</v>
      </c>
      <c r="G2" s="4">
        <v>111.6571962</v>
      </c>
      <c r="T2" s="4">
        <v>2.3944643540000001</v>
      </c>
      <c r="U2" s="4">
        <f t="shared" ref="U2:U126" si="1">LN(T2)</f>
        <v>0.87315955407456058</v>
      </c>
    </row>
    <row r="3" spans="1:26" ht="20.25">
      <c r="A3" s="4" t="s">
        <v>8</v>
      </c>
      <c r="B3" s="4">
        <v>105190.686</v>
      </c>
      <c r="C3" s="4">
        <f t="shared" si="0"/>
        <v>11.563530039244521</v>
      </c>
      <c r="D3" s="4">
        <v>6107.0403900000001</v>
      </c>
      <c r="E3" s="4">
        <v>237.75541955937791</v>
      </c>
      <c r="F3" s="4">
        <v>-6.4879079400000004</v>
      </c>
      <c r="G3" s="4">
        <v>110.6088513</v>
      </c>
      <c r="T3" s="4">
        <v>-6.4879079400000004</v>
      </c>
      <c r="U3" s="4" t="e">
        <f t="shared" si="1"/>
        <v>#NUM!</v>
      </c>
    </row>
    <row r="4" spans="1:26" ht="20.25">
      <c r="A4" s="4" t="s">
        <v>9</v>
      </c>
      <c r="B4" s="4">
        <v>94394.510699999999</v>
      </c>
      <c r="C4" s="4">
        <f t="shared" si="0"/>
        <v>11.455238201078446</v>
      </c>
      <c r="D4" s="4">
        <v>7422.8491270000004</v>
      </c>
      <c r="E4" s="4">
        <v>138.50069875351929</v>
      </c>
      <c r="F4" s="4">
        <v>-1.4983601</v>
      </c>
      <c r="G4" s="4">
        <v>123.9712281</v>
      </c>
      <c r="T4" s="4">
        <v>-1.4983601</v>
      </c>
      <c r="U4" s="4" t="e">
        <f t="shared" si="1"/>
        <v>#NUM!</v>
      </c>
    </row>
    <row r="5" spans="1:26" ht="20.25">
      <c r="A5" s="4" t="s">
        <v>10</v>
      </c>
      <c r="B5" s="4">
        <v>88701.468999999997</v>
      </c>
      <c r="C5" s="4">
        <f t="shared" si="0"/>
        <v>11.393031729603598</v>
      </c>
      <c r="D5" s="4">
        <v>19381.086220000001</v>
      </c>
      <c r="E5" s="4">
        <v>100.2136408456121</v>
      </c>
      <c r="F5" s="4">
        <v>3.2285059999999997E-2</v>
      </c>
      <c r="G5" s="4">
        <v>162.24853970000001</v>
      </c>
      <c r="T5" s="4">
        <v>3.2285059999999997E-2</v>
      </c>
      <c r="U5" s="4">
        <f t="shared" si="1"/>
        <v>-3.4331506944572379</v>
      </c>
    </row>
    <row r="6" spans="1:26" ht="20.25">
      <c r="A6" s="4" t="s">
        <v>11</v>
      </c>
      <c r="B6" s="4">
        <v>76657.248900000006</v>
      </c>
      <c r="C6" s="4">
        <f t="shared" si="0"/>
        <v>11.247099451256936</v>
      </c>
      <c r="D6" s="4">
        <v>12968.16281</v>
      </c>
      <c r="E6" s="4">
        <v>27.313939735536319</v>
      </c>
      <c r="F6" s="4">
        <v>1.6281681699999999</v>
      </c>
      <c r="G6" s="4">
        <v>108.7856407</v>
      </c>
      <c r="T6" s="4">
        <v>1.6281681699999999</v>
      </c>
      <c r="U6" s="4">
        <f t="shared" si="1"/>
        <v>0.48745556077122171</v>
      </c>
    </row>
    <row r="7" spans="1:26" ht="20.25">
      <c r="A7" s="4" t="s">
        <v>12</v>
      </c>
      <c r="B7" s="4">
        <v>67781.094100000002</v>
      </c>
      <c r="C7" s="4">
        <f t="shared" si="0"/>
        <v>11.124038586960536</v>
      </c>
      <c r="D7" s="4">
        <v>5847.1596909999998</v>
      </c>
      <c r="E7" s="4">
        <v>131.99582490907079</v>
      </c>
      <c r="F7" s="4">
        <v>6.9048667970000004</v>
      </c>
      <c r="G7" s="4">
        <v>126.483541</v>
      </c>
      <c r="T7" s="4">
        <v>6.9048667970000004</v>
      </c>
      <c r="U7" s="4">
        <f t="shared" si="1"/>
        <v>1.9322264958714201</v>
      </c>
    </row>
    <row r="8" spans="1:26" ht="20.25">
      <c r="A8" s="4" t="s">
        <v>13</v>
      </c>
      <c r="B8" s="4">
        <v>65169.519099999998</v>
      </c>
      <c r="C8" s="4">
        <f t="shared" si="0"/>
        <v>11.084747140137008</v>
      </c>
      <c r="D8" s="4">
        <v>9923.4316710000003</v>
      </c>
      <c r="E8" s="4">
        <v>45.694641880575219</v>
      </c>
      <c r="F8" s="4">
        <v>4.0521528670000002</v>
      </c>
      <c r="G8" s="4">
        <v>109.4691711</v>
      </c>
      <c r="T8" s="4">
        <v>4.0521528670000002</v>
      </c>
      <c r="U8" s="4">
        <f t="shared" si="1"/>
        <v>1.3992483119828139</v>
      </c>
    </row>
    <row r="9" spans="1:26" ht="20.25">
      <c r="A9" s="4" t="s">
        <v>14</v>
      </c>
      <c r="B9" s="4">
        <v>59123.318599999999</v>
      </c>
      <c r="C9" s="4">
        <f t="shared" si="0"/>
        <v>10.987380687334896</v>
      </c>
      <c r="D9" s="4">
        <v>6352.1899519999997</v>
      </c>
      <c r="E9" s="4">
        <v>184.10748425268159</v>
      </c>
      <c r="F9" s="4">
        <v>1.47701806</v>
      </c>
      <c r="G9" s="4">
        <v>115.82055630000001</v>
      </c>
      <c r="T9" s="4">
        <v>1.47701806</v>
      </c>
      <c r="U9" s="4">
        <f t="shared" si="1"/>
        <v>0.3900252309626393</v>
      </c>
    </row>
    <row r="10" spans="1:26" ht="20.25">
      <c r="A10" s="4" t="s">
        <v>15</v>
      </c>
      <c r="B10" s="4">
        <v>56256.8007</v>
      </c>
      <c r="C10" s="4">
        <f t="shared" si="0"/>
        <v>10.937682214092023</v>
      </c>
      <c r="D10" s="4">
        <v>14907.077869999999</v>
      </c>
      <c r="E10" s="4">
        <v>67.317621556398947</v>
      </c>
      <c r="F10" s="4">
        <v>2.3175580490000001</v>
      </c>
      <c r="G10" s="4">
        <v>91.238669000000002</v>
      </c>
      <c r="T10" s="4">
        <v>2.3175580490000001</v>
      </c>
      <c r="U10" s="4">
        <f t="shared" si="1"/>
        <v>0.84051406625636438</v>
      </c>
    </row>
    <row r="11" spans="1:26" ht="20.25">
      <c r="A11" s="4" t="s">
        <v>16</v>
      </c>
      <c r="B11" s="4">
        <v>54949.621599999999</v>
      </c>
      <c r="C11" s="4">
        <f t="shared" si="0"/>
        <v>10.914172073547821</v>
      </c>
      <c r="D11" s="4">
        <v>6842.7936179999997</v>
      </c>
      <c r="E11" s="4">
        <v>60.644852674295237</v>
      </c>
      <c r="F11" s="4">
        <v>4.3572596209999999</v>
      </c>
      <c r="G11" s="4">
        <v>151.13796310000001</v>
      </c>
      <c r="T11" s="4">
        <v>4.3572596209999999</v>
      </c>
      <c r="U11" s="4">
        <f t="shared" si="1"/>
        <v>1.4718433324612807</v>
      </c>
    </row>
    <row r="12" spans="1:26" ht="20.25">
      <c r="A12" s="4" t="s">
        <v>17</v>
      </c>
      <c r="B12" s="4">
        <v>54836.890700000004</v>
      </c>
      <c r="C12" s="4">
        <f t="shared" si="0"/>
        <v>10.91211843440294</v>
      </c>
      <c r="D12" s="4">
        <v>12418.39732</v>
      </c>
      <c r="E12" s="4">
        <v>107.11175182651171</v>
      </c>
      <c r="F12" s="4">
        <v>9.3522822879999996</v>
      </c>
      <c r="G12" s="4">
        <v>140.78166450000001</v>
      </c>
      <c r="J12" s="5"/>
      <c r="K12" s="5"/>
      <c r="T12" s="4">
        <v>9.3522822879999996</v>
      </c>
      <c r="U12" s="4">
        <f t="shared" si="1"/>
        <v>2.2356204084875269</v>
      </c>
    </row>
    <row r="13" spans="1:26" ht="20.25">
      <c r="A13" s="4" t="s">
        <v>18</v>
      </c>
      <c r="B13" s="4">
        <v>52336.772499999999</v>
      </c>
      <c r="C13" s="4">
        <f t="shared" si="0"/>
        <v>10.865454510063607</v>
      </c>
      <c r="D13" s="4">
        <v>8254.3939289999998</v>
      </c>
      <c r="E13" s="4">
        <v>123.5795786529019</v>
      </c>
      <c r="F13" s="4">
        <v>3.0221599260000001</v>
      </c>
      <c r="G13" s="4">
        <v>121.1664574</v>
      </c>
      <c r="J13" s="5"/>
      <c r="K13" s="5"/>
      <c r="T13" s="4">
        <v>3.0221599260000001</v>
      </c>
      <c r="U13" s="4">
        <f t="shared" si="1"/>
        <v>1.1059717830326989</v>
      </c>
    </row>
    <row r="14" spans="1:26" ht="20.25">
      <c r="A14" s="4" t="s">
        <v>19</v>
      </c>
      <c r="B14" s="4">
        <v>50605.7497</v>
      </c>
      <c r="C14" s="4">
        <f t="shared" si="0"/>
        <v>10.83182047925489</v>
      </c>
      <c r="D14" s="4">
        <v>7285.9135239999996</v>
      </c>
      <c r="E14" s="4">
        <v>191.1790313037861</v>
      </c>
      <c r="F14" s="4">
        <v>2.2224310709999999</v>
      </c>
      <c r="G14" s="4">
        <v>101.6803558</v>
      </c>
      <c r="J14" s="5"/>
      <c r="K14" s="5"/>
      <c r="T14" s="4">
        <v>2.2224310709999999</v>
      </c>
      <c r="U14" s="4">
        <f t="shared" si="1"/>
        <v>0.79860167375174484</v>
      </c>
    </row>
    <row r="15" spans="1:26" ht="20.25">
      <c r="A15" s="4" t="s">
        <v>20</v>
      </c>
      <c r="B15" s="4">
        <v>50506.517999999996</v>
      </c>
      <c r="C15" s="4">
        <f t="shared" si="0"/>
        <v>10.829857676241655</v>
      </c>
      <c r="D15" s="4">
        <v>6316.2757119999997</v>
      </c>
      <c r="E15" s="4">
        <v>88.785754213050112</v>
      </c>
      <c r="F15" s="4">
        <v>2.0760524619999998</v>
      </c>
      <c r="G15" s="4">
        <v>124.1582643</v>
      </c>
      <c r="J15" s="5"/>
      <c r="K15" s="5"/>
      <c r="T15" s="4">
        <v>2.0760524619999998</v>
      </c>
      <c r="U15" s="4">
        <f t="shared" si="1"/>
        <v>0.7304682356972525</v>
      </c>
    </row>
    <row r="16" spans="1:26" ht="20.25">
      <c r="A16" s="4" t="s">
        <v>21</v>
      </c>
      <c r="B16" s="4">
        <v>50440.5602</v>
      </c>
      <c r="C16" s="4">
        <f t="shared" si="0"/>
        <v>10.828550896282051</v>
      </c>
      <c r="D16" s="4">
        <v>14738.19974</v>
      </c>
      <c r="E16" s="4">
        <v>94.562534052266713</v>
      </c>
      <c r="F16" s="4">
        <v>4.6669115410000002</v>
      </c>
      <c r="G16" s="4">
        <v>128.0232934</v>
      </c>
      <c r="J16" s="5"/>
      <c r="K16" s="5"/>
      <c r="T16" s="4">
        <v>4.6669115410000002</v>
      </c>
      <c r="U16" s="4">
        <f t="shared" si="1"/>
        <v>1.540497512641914</v>
      </c>
    </row>
    <row r="17" spans="1:21" ht="20.25">
      <c r="A17" s="4" t="s">
        <v>22</v>
      </c>
      <c r="B17" s="4">
        <v>49099.709000000003</v>
      </c>
      <c r="C17" s="4">
        <f t="shared" si="0"/>
        <v>10.801608387084805</v>
      </c>
      <c r="D17" s="4">
        <v>8144.7153509999998</v>
      </c>
      <c r="E17" s="4">
        <v>53.476162765581677</v>
      </c>
      <c r="F17" s="4">
        <v>3.930401383</v>
      </c>
      <c r="G17" s="4">
        <v>115.9841878</v>
      </c>
      <c r="J17" s="5"/>
      <c r="K17" s="5"/>
      <c r="T17" s="4">
        <v>3.930401383</v>
      </c>
      <c r="U17" s="4">
        <f t="shared" si="1"/>
        <v>1.3687415537448224</v>
      </c>
    </row>
    <row r="18" spans="1:21" ht="20.25">
      <c r="A18" s="4" t="s">
        <v>23</v>
      </c>
      <c r="B18" s="4">
        <v>47057.0432</v>
      </c>
      <c r="C18" s="4">
        <f t="shared" si="0"/>
        <v>10.759115829878199</v>
      </c>
      <c r="D18" s="4">
        <v>4316.5197330000001</v>
      </c>
      <c r="E18" s="4">
        <v>69.1989264413981</v>
      </c>
      <c r="F18" s="4">
        <v>2.9163543519999999</v>
      </c>
      <c r="G18" s="4">
        <v>119.8339995</v>
      </c>
      <c r="J18" s="5"/>
      <c r="K18" s="5"/>
      <c r="T18" s="4">
        <v>2.9163543519999999</v>
      </c>
      <c r="U18" s="4">
        <f t="shared" si="1"/>
        <v>1.0703343266537286</v>
      </c>
    </row>
    <row r="19" spans="1:21" ht="20.25">
      <c r="A19" s="4" t="s">
        <v>24</v>
      </c>
      <c r="B19" s="4">
        <v>40988.639600000002</v>
      </c>
      <c r="C19" s="4">
        <f t="shared" si="0"/>
        <v>10.62105022436505</v>
      </c>
      <c r="D19" s="4">
        <v>6649.3893179999995</v>
      </c>
      <c r="E19" s="4">
        <v>75.963007798199627</v>
      </c>
      <c r="F19" s="4">
        <v>4.0180319139999998</v>
      </c>
      <c r="G19" s="4">
        <v>115.9505194</v>
      </c>
      <c r="J19" s="5"/>
      <c r="K19" s="5"/>
      <c r="T19" s="4">
        <v>4.0180319139999998</v>
      </c>
      <c r="U19" s="4">
        <f t="shared" si="1"/>
        <v>1.3907922091187899</v>
      </c>
    </row>
    <row r="20" spans="1:21" ht="15.75" customHeight="1">
      <c r="A20" s="4" t="s">
        <v>25</v>
      </c>
      <c r="B20" s="4">
        <v>39981.769099999998</v>
      </c>
      <c r="C20" s="4">
        <f t="shared" si="0"/>
        <v>10.596178856700218</v>
      </c>
      <c r="D20" s="4">
        <v>16570.569869999999</v>
      </c>
      <c r="E20" s="4">
        <v>90.920411697019603</v>
      </c>
      <c r="F20" s="4">
        <v>0.40994382299999998</v>
      </c>
      <c r="G20" s="4">
        <v>168.35015759999999</v>
      </c>
      <c r="J20" s="5"/>
      <c r="K20" s="5"/>
      <c r="T20" s="4">
        <v>0.40994382299999998</v>
      </c>
      <c r="U20" s="4">
        <f t="shared" si="1"/>
        <v>-0.89173514574465107</v>
      </c>
    </row>
    <row r="21" spans="1:21" ht="15.75" customHeight="1">
      <c r="A21" s="4" t="s">
        <v>26</v>
      </c>
      <c r="B21" s="4">
        <v>36632.928099999997</v>
      </c>
      <c r="C21" s="4">
        <f t="shared" si="0"/>
        <v>10.508702789787989</v>
      </c>
      <c r="D21" s="4">
        <v>11197.48776</v>
      </c>
      <c r="E21" s="4">
        <v>146.97396587959719</v>
      </c>
      <c r="F21" s="4">
        <v>-1.7394679799999999</v>
      </c>
      <c r="G21" s="4">
        <v>116.1084393</v>
      </c>
      <c r="J21" s="6" t="s">
        <v>27</v>
      </c>
      <c r="K21" s="6">
        <v>503.51453299999997</v>
      </c>
      <c r="T21" s="4">
        <v>-1.7394679799999999</v>
      </c>
      <c r="U21" s="4" t="e">
        <f t="shared" si="1"/>
        <v>#NUM!</v>
      </c>
    </row>
    <row r="22" spans="1:21" ht="15.75" customHeight="1">
      <c r="A22" s="4" t="s">
        <v>28</v>
      </c>
      <c r="B22" s="4">
        <v>35653.904199999997</v>
      </c>
      <c r="C22" s="4">
        <f t="shared" si="0"/>
        <v>10.48161393457265</v>
      </c>
      <c r="D22" s="4">
        <v>5215.6901209999996</v>
      </c>
      <c r="E22" s="4">
        <v>72.016502303269661</v>
      </c>
      <c r="F22" s="4">
        <v>2.9418140579999998</v>
      </c>
      <c r="G22" s="4">
        <v>131.6739656</v>
      </c>
      <c r="T22" s="4">
        <v>2.9418140579999998</v>
      </c>
      <c r="U22" s="4">
        <f t="shared" si="1"/>
        <v>1.0790264175986015</v>
      </c>
    </row>
    <row r="23" spans="1:21" ht="15.75" customHeight="1">
      <c r="A23" s="4" t="s">
        <v>29</v>
      </c>
      <c r="B23" s="4">
        <v>34822.404799999997</v>
      </c>
      <c r="C23" s="4">
        <f t="shared" si="0"/>
        <v>10.458016274693851</v>
      </c>
      <c r="D23" s="4">
        <v>11705.630510000001</v>
      </c>
      <c r="E23" s="4">
        <v>90.585147527854929</v>
      </c>
      <c r="F23" s="4">
        <v>1.3918646969999999</v>
      </c>
      <c r="G23" s="4">
        <v>148.68360770000001</v>
      </c>
      <c r="T23" s="4">
        <v>1.3918646969999999</v>
      </c>
      <c r="U23" s="4">
        <f t="shared" si="1"/>
        <v>0.33064435675692533</v>
      </c>
    </row>
    <row r="24" spans="1:21" ht="15.75" customHeight="1">
      <c r="A24" s="4" t="s">
        <v>30</v>
      </c>
      <c r="B24" s="4">
        <v>34065.643900000003</v>
      </c>
      <c r="C24" s="4">
        <f t="shared" si="0"/>
        <v>10.436044645128055</v>
      </c>
      <c r="D24" s="4">
        <v>7800.0806060000004</v>
      </c>
      <c r="E24" s="4">
        <v>46.812986836893813</v>
      </c>
      <c r="F24" s="4">
        <v>1.129718408</v>
      </c>
      <c r="G24" s="4">
        <v>168.6029437</v>
      </c>
      <c r="T24" s="4">
        <v>1.129718408</v>
      </c>
      <c r="U24" s="4">
        <f t="shared" si="1"/>
        <v>0.12196840520947509</v>
      </c>
    </row>
    <row r="25" spans="1:21" ht="15.75" customHeight="1">
      <c r="A25" s="4" t="s">
        <v>31</v>
      </c>
      <c r="B25" s="4">
        <v>33231.042999999998</v>
      </c>
      <c r="C25" s="4">
        <f t="shared" si="0"/>
        <v>10.411239748156701</v>
      </c>
      <c r="D25" s="4">
        <v>3848.6671620000002</v>
      </c>
      <c r="E25" s="4">
        <v>205.7535437455235</v>
      </c>
      <c r="F25" s="4">
        <v>0.17262361300000001</v>
      </c>
      <c r="G25" s="4">
        <v>146.71583609999999</v>
      </c>
      <c r="T25" s="4">
        <v>0.17262361300000001</v>
      </c>
      <c r="U25" s="4">
        <f t="shared" si="1"/>
        <v>-1.7566417020423819</v>
      </c>
    </row>
    <row r="26" spans="1:21" ht="15.75" customHeight="1">
      <c r="A26" s="4" t="s">
        <v>32</v>
      </c>
      <c r="B26" s="4">
        <v>30470.5219</v>
      </c>
      <c r="C26" s="4">
        <f t="shared" si="0"/>
        <v>10.324515000156007</v>
      </c>
      <c r="D26" s="4">
        <v>23151.54592</v>
      </c>
      <c r="E26" s="4">
        <v>167.1412411525348</v>
      </c>
      <c r="F26" s="4">
        <v>4.2001845629999996</v>
      </c>
      <c r="G26" s="4">
        <v>139.63614290000001</v>
      </c>
      <c r="T26" s="4">
        <v>4.2001845629999996</v>
      </c>
      <c r="U26" s="4">
        <f t="shared" si="1"/>
        <v>1.4351284678952607</v>
      </c>
    </row>
    <row r="27" spans="1:21" ht="15.75" customHeight="1">
      <c r="A27" s="4" t="s">
        <v>33</v>
      </c>
      <c r="B27" s="4">
        <v>30319.4987</v>
      </c>
      <c r="C27" s="4">
        <f t="shared" si="0"/>
        <v>10.319546305978465</v>
      </c>
      <c r="D27" s="4">
        <v>5179.7696329999999</v>
      </c>
      <c r="E27" s="4">
        <v>78.465733870305399</v>
      </c>
      <c r="F27" s="4">
        <v>4.6560904340000002</v>
      </c>
      <c r="G27" s="4">
        <v>123.3995288</v>
      </c>
      <c r="T27" s="4">
        <v>4.6560904340000002</v>
      </c>
      <c r="U27" s="4">
        <f t="shared" si="1"/>
        <v>1.5381761333504762</v>
      </c>
    </row>
    <row r="28" spans="1:21" ht="15.75" customHeight="1">
      <c r="A28" s="4" t="s">
        <v>34</v>
      </c>
      <c r="B28" s="4">
        <v>28360.304100000001</v>
      </c>
      <c r="C28" s="4">
        <f t="shared" si="0"/>
        <v>10.252745703437657</v>
      </c>
      <c r="D28" s="4">
        <v>6731.2918659999996</v>
      </c>
      <c r="E28" s="4">
        <v>186.64707627463179</v>
      </c>
      <c r="F28" s="4">
        <v>3.6401085790000001</v>
      </c>
      <c r="G28" s="4">
        <v>126.4591808</v>
      </c>
      <c r="T28" s="4">
        <v>3.6401085790000001</v>
      </c>
      <c r="U28" s="4">
        <f t="shared" si="1"/>
        <v>1.2920135105993662</v>
      </c>
    </row>
    <row r="29" spans="1:21" ht="15.75" customHeight="1">
      <c r="A29" s="4" t="s">
        <v>35</v>
      </c>
      <c r="B29" s="4">
        <v>28340.382699999998</v>
      </c>
      <c r="C29" s="4">
        <f t="shared" si="0"/>
        <v>10.252043017034934</v>
      </c>
      <c r="D29" s="4">
        <v>6464.0728330000002</v>
      </c>
      <c r="E29" s="4">
        <v>175.68711950524019</v>
      </c>
      <c r="F29" s="4">
        <v>4.5298837279999997</v>
      </c>
      <c r="G29" s="4">
        <v>152.2707729</v>
      </c>
      <c r="T29" s="4">
        <v>4.5298837279999997</v>
      </c>
      <c r="U29" s="4">
        <f t="shared" si="1"/>
        <v>1.5106962720573689</v>
      </c>
    </row>
    <row r="30" spans="1:21" ht="15.75" customHeight="1">
      <c r="A30" s="4" t="s">
        <v>36</v>
      </c>
      <c r="B30" s="4">
        <v>28282.223699999999</v>
      </c>
      <c r="C30" s="4">
        <f t="shared" si="0"/>
        <v>10.249988748460938</v>
      </c>
      <c r="D30" s="4">
        <v>6363.0293439999996</v>
      </c>
      <c r="E30" s="4">
        <v>144.01149410939661</v>
      </c>
      <c r="F30" s="4">
        <v>3.029375173</v>
      </c>
      <c r="G30" s="4">
        <v>128.10529500000001</v>
      </c>
      <c r="T30" s="4">
        <v>3.029375173</v>
      </c>
      <c r="U30" s="4">
        <f t="shared" si="1"/>
        <v>1.1083563847249909</v>
      </c>
    </row>
    <row r="31" spans="1:21" ht="15.75" customHeight="1">
      <c r="A31" s="4" t="s">
        <v>37</v>
      </c>
      <c r="B31" s="4">
        <v>25085.784100000001</v>
      </c>
      <c r="C31" s="4">
        <f t="shared" si="0"/>
        <v>10.130056594153579</v>
      </c>
      <c r="D31" s="4">
        <v>4416.170282</v>
      </c>
      <c r="E31" s="4">
        <v>175.65161215109271</v>
      </c>
      <c r="F31" s="4">
        <v>3.4058810820000001</v>
      </c>
      <c r="G31" s="4">
        <v>135.83415070000001</v>
      </c>
      <c r="T31" s="4">
        <v>3.4058810820000001</v>
      </c>
      <c r="U31" s="4">
        <f t="shared" si="1"/>
        <v>1.2255036673620421</v>
      </c>
    </row>
    <row r="32" spans="1:21" ht="15.75" customHeight="1">
      <c r="A32" s="4" t="s">
        <v>38</v>
      </c>
      <c r="B32" s="4">
        <v>24620.519799999998</v>
      </c>
      <c r="C32" s="4">
        <f t="shared" si="0"/>
        <v>10.111335512431898</v>
      </c>
      <c r="D32" s="4">
        <v>5085.2320970000001</v>
      </c>
      <c r="E32" s="4">
        <v>101.3641464794345</v>
      </c>
      <c r="F32" s="4">
        <v>5.083689219</v>
      </c>
      <c r="G32" s="4">
        <v>122.801309</v>
      </c>
      <c r="T32" s="4">
        <v>5.083689219</v>
      </c>
      <c r="U32" s="4">
        <f t="shared" si="1"/>
        <v>1.6260372222297865</v>
      </c>
    </row>
    <row r="33" spans="1:21" ht="15.75" customHeight="1">
      <c r="A33" s="4" t="s">
        <v>39</v>
      </c>
      <c r="B33" s="4">
        <v>23223.582900000001</v>
      </c>
      <c r="C33" s="4">
        <f t="shared" si="0"/>
        <v>10.052923545674085</v>
      </c>
      <c r="D33" s="4">
        <v>8092.6365889999997</v>
      </c>
      <c r="E33" s="4">
        <v>105.7450092806546</v>
      </c>
      <c r="F33" s="4">
        <v>6.2554452820000002</v>
      </c>
      <c r="G33" s="4">
        <v>136.80057160000001</v>
      </c>
      <c r="T33" s="4">
        <v>6.2554452820000002</v>
      </c>
      <c r="U33" s="4">
        <f t="shared" si="1"/>
        <v>1.8334523295545815</v>
      </c>
    </row>
    <row r="34" spans="1:21" ht="15.75" customHeight="1">
      <c r="A34" s="4" t="s">
        <v>40</v>
      </c>
      <c r="B34" s="4">
        <v>21317.794399999999</v>
      </c>
      <c r="C34" s="4">
        <f t="shared" si="0"/>
        <v>9.9672974207706382</v>
      </c>
      <c r="D34" s="4">
        <v>4957.7005719999997</v>
      </c>
      <c r="E34" s="4">
        <v>204.05631853115131</v>
      </c>
      <c r="F34" s="4">
        <v>4.168720059</v>
      </c>
      <c r="G34" s="4">
        <v>136.0292896</v>
      </c>
      <c r="T34" s="4">
        <v>4.168720059</v>
      </c>
      <c r="U34" s="4">
        <f t="shared" si="1"/>
        <v>1.4276090484071287</v>
      </c>
    </row>
    <row r="35" spans="1:21" ht="15.75" customHeight="1">
      <c r="A35" s="4" t="s">
        <v>41</v>
      </c>
      <c r="B35" s="4">
        <v>20886.524300000001</v>
      </c>
      <c r="C35" s="4">
        <f t="shared" si="0"/>
        <v>9.9468594596641893</v>
      </c>
      <c r="D35" s="4">
        <v>4827.7828570000001</v>
      </c>
      <c r="E35" s="4">
        <v>108.1218432299224</v>
      </c>
      <c r="F35" s="4">
        <v>3.6964829340000001</v>
      </c>
      <c r="G35" s="4">
        <v>109.02695610000001</v>
      </c>
      <c r="T35" s="4">
        <v>3.6964829340000001</v>
      </c>
      <c r="U35" s="4">
        <f t="shared" si="1"/>
        <v>1.3073818092046849</v>
      </c>
    </row>
    <row r="36" spans="1:21" ht="15.75" customHeight="1">
      <c r="A36" s="4" t="s">
        <v>42</v>
      </c>
      <c r="B36" s="4">
        <v>20818.614600000001</v>
      </c>
      <c r="C36" s="4">
        <f t="shared" si="0"/>
        <v>9.9436027981682127</v>
      </c>
      <c r="D36" s="4">
        <v>3589.8886229999998</v>
      </c>
      <c r="E36" s="4">
        <v>61.030795104382143</v>
      </c>
      <c r="F36" s="4">
        <v>12.48040634</v>
      </c>
      <c r="G36" s="4">
        <v>139.82880130000001</v>
      </c>
      <c r="T36" s="4">
        <v>12.48040634</v>
      </c>
      <c r="U36" s="4">
        <f t="shared" si="1"/>
        <v>2.524159921706111</v>
      </c>
    </row>
    <row r="37" spans="1:21" ht="15.75" customHeight="1">
      <c r="A37" s="4" t="s">
        <v>43</v>
      </c>
      <c r="B37" s="4">
        <v>20221.1037</v>
      </c>
      <c r="C37" s="4">
        <f t="shared" si="0"/>
        <v>9.9144820756545116</v>
      </c>
      <c r="D37" s="4">
        <v>3714.5169449999999</v>
      </c>
      <c r="E37" s="4">
        <v>159.8927781906489</v>
      </c>
      <c r="F37" s="4">
        <v>3.2033789179999999</v>
      </c>
      <c r="G37" s="4">
        <v>115.20262750000001</v>
      </c>
      <c r="T37" s="4">
        <v>3.2033789179999999</v>
      </c>
      <c r="U37" s="4">
        <f t="shared" si="1"/>
        <v>1.1642061645978561</v>
      </c>
    </row>
    <row r="38" spans="1:21" ht="15.75" customHeight="1">
      <c r="A38" s="4" t="s">
        <v>44</v>
      </c>
      <c r="B38" s="4">
        <v>18891.212100000001</v>
      </c>
      <c r="C38" s="4">
        <f t="shared" si="0"/>
        <v>9.8464521246625072</v>
      </c>
      <c r="D38" s="4">
        <v>4552.8255600000002</v>
      </c>
      <c r="E38" s="4">
        <v>123.0213328603447</v>
      </c>
      <c r="F38" s="4">
        <v>6.0062609660000001</v>
      </c>
      <c r="G38" s="4">
        <v>137.0021481</v>
      </c>
      <c r="T38" s="4">
        <v>6.0062609660000001</v>
      </c>
      <c r="U38" s="4">
        <f t="shared" si="1"/>
        <v>1.7928024194996273</v>
      </c>
    </row>
    <row r="39" spans="1:21" ht="15.75" customHeight="1">
      <c r="A39" s="4" t="s">
        <v>45</v>
      </c>
      <c r="B39" s="4">
        <v>18465.541399999998</v>
      </c>
      <c r="C39" s="4">
        <f t="shared" si="0"/>
        <v>9.8236616471926013</v>
      </c>
      <c r="D39" s="4">
        <v>4475.5204130000002</v>
      </c>
      <c r="E39" s="4">
        <v>125.41087797469351</v>
      </c>
      <c r="F39" s="4">
        <v>5.5162697429999996</v>
      </c>
      <c r="G39" s="4">
        <v>114.6771957</v>
      </c>
      <c r="T39" s="4">
        <v>5.5162697429999996</v>
      </c>
      <c r="U39" s="4">
        <f t="shared" si="1"/>
        <v>1.7077018606570777</v>
      </c>
    </row>
    <row r="40" spans="1:21" ht="15.75" customHeight="1">
      <c r="A40" s="4" t="s">
        <v>46</v>
      </c>
      <c r="B40" s="4">
        <v>18428.0288</v>
      </c>
      <c r="C40" s="4">
        <f t="shared" si="0"/>
        <v>9.8216280888937444</v>
      </c>
      <c r="D40" s="4">
        <v>4702.9309720000001</v>
      </c>
      <c r="E40" s="4">
        <v>185.00020409269851</v>
      </c>
      <c r="F40" s="4">
        <v>-1.0832449200000001</v>
      </c>
      <c r="G40" s="4">
        <v>105.79384829999999</v>
      </c>
      <c r="T40" s="4">
        <v>-1.0832449200000001</v>
      </c>
      <c r="U40" s="4" t="e">
        <f t="shared" si="1"/>
        <v>#NUM!</v>
      </c>
    </row>
    <row r="41" spans="1:21" ht="15.75" customHeight="1">
      <c r="A41" s="4" t="s">
        <v>47</v>
      </c>
      <c r="B41" s="4">
        <v>17378.607</v>
      </c>
      <c r="C41" s="4">
        <f t="shared" si="0"/>
        <v>9.7629952460099947</v>
      </c>
      <c r="D41" s="4">
        <v>2546.3708310000002</v>
      </c>
      <c r="E41" s="4">
        <v>93.475268816844249</v>
      </c>
      <c r="F41" s="4">
        <v>3.2250848190000001</v>
      </c>
      <c r="G41" s="4">
        <v>152.06217179999999</v>
      </c>
      <c r="T41" s="4">
        <v>3.2250848190000001</v>
      </c>
      <c r="U41" s="4">
        <f t="shared" si="1"/>
        <v>1.170959250367001</v>
      </c>
    </row>
    <row r="42" spans="1:21" ht="15.75" customHeight="1">
      <c r="A42" s="4" t="s">
        <v>48</v>
      </c>
      <c r="B42" s="4">
        <v>15619.614299999999</v>
      </c>
      <c r="C42" s="4">
        <f t="shared" si="0"/>
        <v>9.6562827303871419</v>
      </c>
      <c r="D42" s="4">
        <v>7184.3943049999998</v>
      </c>
      <c r="E42" s="4">
        <v>42.782786429481114</v>
      </c>
      <c r="F42" s="4">
        <v>-1.73680981</v>
      </c>
      <c r="G42" s="4">
        <v>168.47583130000001</v>
      </c>
      <c r="T42" s="4">
        <v>-1.73680981</v>
      </c>
      <c r="U42" s="4" t="e">
        <f t="shared" si="1"/>
        <v>#NUM!</v>
      </c>
    </row>
    <row r="43" spans="1:21" ht="15.75" customHeight="1">
      <c r="A43" s="4" t="s">
        <v>49</v>
      </c>
      <c r="B43" s="4">
        <v>15503.551799999999</v>
      </c>
      <c r="C43" s="4">
        <f t="shared" si="0"/>
        <v>9.6488244250439532</v>
      </c>
      <c r="D43" s="4">
        <v>2717.536529</v>
      </c>
      <c r="E43" s="4">
        <v>93.949650938344703</v>
      </c>
      <c r="F43" s="4">
        <v>3.886473493</v>
      </c>
      <c r="G43" s="4">
        <v>121.1419429</v>
      </c>
      <c r="T43" s="4">
        <v>3.886473493</v>
      </c>
      <c r="U43" s="4">
        <f t="shared" si="1"/>
        <v>1.3575021893895671</v>
      </c>
    </row>
    <row r="44" spans="1:21" ht="15.75" customHeight="1">
      <c r="A44" s="4" t="s">
        <v>50</v>
      </c>
      <c r="B44" s="4">
        <v>15405.616599999999</v>
      </c>
      <c r="C44" s="4">
        <f t="shared" si="0"/>
        <v>9.6424874361953457</v>
      </c>
      <c r="D44" s="4">
        <v>4405.8631100000002</v>
      </c>
      <c r="E44" s="4">
        <v>75.201617742530331</v>
      </c>
      <c r="F44" s="4">
        <v>6.2318507040000002</v>
      </c>
      <c r="G44" s="4">
        <v>135.11428100000001</v>
      </c>
      <c r="T44" s="4">
        <v>6.2318507040000002</v>
      </c>
      <c r="U44" s="4">
        <f t="shared" si="1"/>
        <v>1.8296733519271888</v>
      </c>
    </row>
    <row r="45" spans="1:21" ht="15.75" customHeight="1">
      <c r="A45" s="4" t="s">
        <v>51</v>
      </c>
      <c r="B45" s="4">
        <v>13999.195</v>
      </c>
      <c r="C45" s="4">
        <f t="shared" si="0"/>
        <v>9.5467551069442074</v>
      </c>
      <c r="D45" s="4">
        <v>5536.4985239999996</v>
      </c>
      <c r="E45" s="4">
        <v>138.84487724123849</v>
      </c>
      <c r="F45" s="4">
        <v>5.2466156469999996</v>
      </c>
      <c r="G45" s="4">
        <v>116.6791633</v>
      </c>
      <c r="T45" s="4">
        <v>5.2466156469999996</v>
      </c>
      <c r="U45" s="4">
        <f t="shared" si="1"/>
        <v>1.657583230068022</v>
      </c>
    </row>
    <row r="46" spans="1:21" ht="15.75" customHeight="1">
      <c r="A46" s="4" t="s">
        <v>52</v>
      </c>
      <c r="B46" s="4">
        <v>13962.189399999999</v>
      </c>
      <c r="C46" s="4">
        <f t="shared" si="0"/>
        <v>9.5441081978301145</v>
      </c>
      <c r="D46" s="4">
        <v>2833.1190980000001</v>
      </c>
      <c r="E46" s="4">
        <v>31.580179260625609</v>
      </c>
      <c r="F46" s="4">
        <v>2.398460118</v>
      </c>
      <c r="G46" s="4">
        <v>131.4835563</v>
      </c>
      <c r="I46" s="3"/>
      <c r="T46" s="4">
        <v>2.398460118</v>
      </c>
      <c r="U46" s="4">
        <f t="shared" si="1"/>
        <v>0.8748269139293039</v>
      </c>
    </row>
    <row r="47" spans="1:21" ht="15.75" customHeight="1">
      <c r="A47" s="4" t="s">
        <v>53</v>
      </c>
      <c r="B47" s="4">
        <v>13625.900799999999</v>
      </c>
      <c r="C47" s="4">
        <f t="shared" si="0"/>
        <v>9.5197277311074942</v>
      </c>
      <c r="D47" s="4">
        <v>2142.9562369999999</v>
      </c>
      <c r="E47" s="4">
        <v>82.227532535314324</v>
      </c>
      <c r="F47" s="4">
        <v>5.4175310650000004</v>
      </c>
      <c r="G47" s="4">
        <v>136.51837499999999</v>
      </c>
      <c r="T47" s="4">
        <v>5.4175310650000004</v>
      </c>
      <c r="U47" s="4">
        <f t="shared" si="1"/>
        <v>1.6896401886066759</v>
      </c>
    </row>
    <row r="48" spans="1:21" ht="15.75" customHeight="1">
      <c r="A48" s="4" t="s">
        <v>54</v>
      </c>
      <c r="B48" s="4">
        <v>12970.605600000001</v>
      </c>
      <c r="C48" s="4">
        <f t="shared" si="0"/>
        <v>9.470440968587436</v>
      </c>
      <c r="D48" s="4">
        <v>6112.1355359999998</v>
      </c>
      <c r="E48" s="4">
        <v>37.440719876365989</v>
      </c>
      <c r="F48" s="4">
        <v>1.038413655</v>
      </c>
      <c r="G48" s="4">
        <v>124.195249</v>
      </c>
      <c r="T48" s="4">
        <v>1.038413655</v>
      </c>
      <c r="U48" s="4">
        <f t="shared" si="1"/>
        <v>3.7694216919748343E-2</v>
      </c>
    </row>
    <row r="49" spans="1:21" ht="15.75" customHeight="1">
      <c r="A49" s="4" t="s">
        <v>55</v>
      </c>
      <c r="B49" s="4">
        <v>11754.567800000001</v>
      </c>
      <c r="C49" s="4">
        <f t="shared" si="0"/>
        <v>9.3719971929651855</v>
      </c>
      <c r="D49" s="4">
        <v>5240.9689060000001</v>
      </c>
      <c r="E49" s="4">
        <v>146.42460475390749</v>
      </c>
      <c r="F49" s="4">
        <v>3.6848621549999998</v>
      </c>
      <c r="G49" s="4">
        <v>138.20844109999999</v>
      </c>
      <c r="T49" s="4">
        <v>3.6848621549999998</v>
      </c>
      <c r="U49" s="4">
        <f t="shared" si="1"/>
        <v>1.3042331178860076</v>
      </c>
    </row>
    <row r="50" spans="1:21" ht="15.75" customHeight="1">
      <c r="A50" s="4" t="s">
        <v>56</v>
      </c>
      <c r="B50" s="4">
        <v>11405.794</v>
      </c>
      <c r="C50" s="4">
        <f t="shared" si="0"/>
        <v>9.3418767508835661</v>
      </c>
      <c r="D50" s="4">
        <v>2513.810469</v>
      </c>
      <c r="E50" s="4">
        <v>88.798485586718556</v>
      </c>
      <c r="F50" s="4">
        <v>2.6726728629999998</v>
      </c>
      <c r="G50" s="4">
        <v>105.72062409999999</v>
      </c>
      <c r="T50" s="4">
        <v>2.6726728629999998</v>
      </c>
      <c r="U50" s="4">
        <f t="shared" si="1"/>
        <v>0.98307904395809864</v>
      </c>
    </row>
    <row r="51" spans="1:21" ht="15.75" customHeight="1">
      <c r="A51" s="4" t="s">
        <v>57</v>
      </c>
      <c r="B51" s="4">
        <v>11255.339599999999</v>
      </c>
      <c r="C51" s="4">
        <f t="shared" si="0"/>
        <v>9.3285979261419598</v>
      </c>
      <c r="D51" s="4">
        <v>5271.5278850000004</v>
      </c>
      <c r="E51" s="4">
        <v>68.334314741561229</v>
      </c>
      <c r="F51" s="4">
        <v>2.2535543499999999</v>
      </c>
      <c r="G51" s="4">
        <v>125.6415835</v>
      </c>
      <c r="T51" s="4">
        <v>2.2535543499999999</v>
      </c>
      <c r="U51" s="4">
        <f t="shared" si="1"/>
        <v>0.81250868089633732</v>
      </c>
    </row>
    <row r="52" spans="1:21" ht="15.75" customHeight="1">
      <c r="A52" s="4" t="s">
        <v>58</v>
      </c>
      <c r="B52" s="4">
        <v>10897.8398</v>
      </c>
      <c r="C52" s="4">
        <f t="shared" si="0"/>
        <v>9.2963198650900551</v>
      </c>
      <c r="D52" s="4">
        <v>3554.2281619999999</v>
      </c>
      <c r="E52" s="4">
        <v>79.898272231434092</v>
      </c>
      <c r="F52" s="4">
        <v>1.4883962369999999</v>
      </c>
      <c r="G52" s="4">
        <v>103.7205936</v>
      </c>
      <c r="T52" s="4">
        <v>1.4883962369999999</v>
      </c>
      <c r="U52" s="4">
        <f t="shared" si="1"/>
        <v>0.39769918926891346</v>
      </c>
    </row>
    <row r="53" spans="1:21" ht="15.75" customHeight="1">
      <c r="A53" s="4" t="s">
        <v>59</v>
      </c>
      <c r="B53" s="4">
        <v>10246.501700000001</v>
      </c>
      <c r="C53" s="4">
        <f t="shared" si="0"/>
        <v>9.2346916287503102</v>
      </c>
      <c r="D53" s="4">
        <v>2334.2149009999998</v>
      </c>
      <c r="E53" s="4">
        <v>147.66379503401171</v>
      </c>
      <c r="F53" s="4">
        <v>4.2199341239999999</v>
      </c>
      <c r="G53" s="4">
        <v>164.30927879999999</v>
      </c>
      <c r="T53" s="4">
        <v>4.2199341239999999</v>
      </c>
      <c r="U53" s="4">
        <f t="shared" si="1"/>
        <v>1.4398195174995361</v>
      </c>
    </row>
    <row r="54" spans="1:21" ht="15.75" customHeight="1">
      <c r="A54" s="4" t="s">
        <v>60</v>
      </c>
      <c r="B54" s="4">
        <v>10104.2449</v>
      </c>
      <c r="C54" s="4">
        <f t="shared" si="0"/>
        <v>9.2207109016621676</v>
      </c>
      <c r="D54" s="4">
        <v>1818.670089</v>
      </c>
      <c r="E54" s="4">
        <v>54.378197671284369</v>
      </c>
      <c r="F54" s="4">
        <v>3.5689709810000001</v>
      </c>
      <c r="G54" s="4">
        <v>90.376016390000004</v>
      </c>
      <c r="T54" s="4">
        <v>3.5689709810000001</v>
      </c>
      <c r="U54" s="4">
        <f t="shared" si="1"/>
        <v>1.2722773136259904</v>
      </c>
    </row>
    <row r="55" spans="1:21" ht="15.75" customHeight="1">
      <c r="A55" s="4" t="s">
        <v>61</v>
      </c>
      <c r="B55" s="4">
        <v>10024.819100000001</v>
      </c>
      <c r="C55" s="4">
        <f t="shared" si="0"/>
        <v>9.2128192071241788</v>
      </c>
      <c r="D55" s="4">
        <v>5113.7010730000002</v>
      </c>
      <c r="E55" s="4">
        <v>131.9132922835162</v>
      </c>
      <c r="F55" s="4">
        <v>6.9035414040000003</v>
      </c>
      <c r="G55" s="4">
        <v>129.8131496</v>
      </c>
      <c r="T55" s="4">
        <v>6.9035414040000003</v>
      </c>
      <c r="U55" s="4">
        <f t="shared" si="1"/>
        <v>1.9320345268935659</v>
      </c>
    </row>
    <row r="56" spans="1:21" ht="15.75" customHeight="1">
      <c r="A56" s="4" t="s">
        <v>62</v>
      </c>
      <c r="B56" s="4">
        <v>10024.543600000001</v>
      </c>
      <c r="C56" s="4">
        <f t="shared" si="0"/>
        <v>9.2127917249538829</v>
      </c>
      <c r="D56" s="4">
        <v>4345.7971649999999</v>
      </c>
      <c r="E56" s="4">
        <v>125.455937754994</v>
      </c>
      <c r="F56" s="4">
        <v>13.958223</v>
      </c>
      <c r="G56" s="4">
        <v>207.27814939999999</v>
      </c>
      <c r="T56" s="4">
        <v>13.958223</v>
      </c>
      <c r="U56" s="4">
        <f t="shared" si="1"/>
        <v>2.6360687969682681</v>
      </c>
    </row>
    <row r="57" spans="1:21" ht="15.75" customHeight="1">
      <c r="A57" s="4" t="s">
        <v>63</v>
      </c>
      <c r="B57" s="4">
        <v>9281.3328199999996</v>
      </c>
      <c r="C57" s="4">
        <f t="shared" si="0"/>
        <v>9.1357604383122997</v>
      </c>
      <c r="D57" s="4">
        <v>2787.7608959999998</v>
      </c>
      <c r="E57" s="4">
        <v>38.816065976432142</v>
      </c>
      <c r="F57" s="4">
        <v>3.8680320149999998</v>
      </c>
      <c r="G57" s="4">
        <v>101.24546890000001</v>
      </c>
      <c r="T57" s="4">
        <v>3.8680320149999998</v>
      </c>
      <c r="U57" s="4">
        <f t="shared" si="1"/>
        <v>1.3527458544440749</v>
      </c>
    </row>
    <row r="58" spans="1:21" ht="15.75" customHeight="1">
      <c r="A58" s="4" t="s">
        <v>64</v>
      </c>
      <c r="B58" s="4">
        <v>8409.2074100000009</v>
      </c>
      <c r="C58" s="4">
        <f t="shared" si="0"/>
        <v>9.0370825047683407</v>
      </c>
      <c r="D58" s="4">
        <v>1050.7058119999999</v>
      </c>
      <c r="E58" s="4">
        <v>92.063088850013088</v>
      </c>
      <c r="F58" s="4">
        <v>5.4038972940000001</v>
      </c>
      <c r="G58" s="4">
        <v>123.2331872</v>
      </c>
      <c r="T58" s="4">
        <v>5.4038972940000001</v>
      </c>
      <c r="U58" s="4">
        <f t="shared" si="1"/>
        <v>1.6871204143659013</v>
      </c>
    </row>
    <row r="59" spans="1:21" ht="15.75" customHeight="1">
      <c r="A59" s="4" t="s">
        <v>65</v>
      </c>
      <c r="B59" s="4">
        <v>8328.7090599999992</v>
      </c>
      <c r="C59" s="4">
        <f t="shared" si="0"/>
        <v>9.0274637483611393</v>
      </c>
      <c r="D59" s="4">
        <v>1590.234322</v>
      </c>
      <c r="E59" s="4">
        <v>85.611707754343186</v>
      </c>
      <c r="F59" s="4">
        <v>3.4920470520000002</v>
      </c>
      <c r="G59" s="4">
        <v>178.2050189</v>
      </c>
      <c r="T59" s="4">
        <v>3.4920470520000002</v>
      </c>
      <c r="U59" s="4">
        <f t="shared" si="1"/>
        <v>1.2504881121133833</v>
      </c>
    </row>
    <row r="60" spans="1:21" ht="15.75" customHeight="1">
      <c r="A60" s="4" t="s">
        <v>66</v>
      </c>
      <c r="B60" s="4">
        <v>7994.6480600000004</v>
      </c>
      <c r="C60" s="4">
        <f t="shared" si="0"/>
        <v>8.9865276042866373</v>
      </c>
      <c r="D60" s="4">
        <v>3902.7658110000002</v>
      </c>
      <c r="E60" s="4">
        <v>120.0242075760939</v>
      </c>
      <c r="F60" s="4">
        <v>2.177450119</v>
      </c>
      <c r="G60" s="4">
        <v>128.3149994</v>
      </c>
      <c r="T60" s="4">
        <v>2.177450119</v>
      </c>
      <c r="U60" s="4">
        <f t="shared" si="1"/>
        <v>0.77815452201945434</v>
      </c>
    </row>
    <row r="61" spans="1:21" ht="15.75" customHeight="1">
      <c r="A61" s="4" t="s">
        <v>67</v>
      </c>
      <c r="B61" s="4">
        <v>7770.59422</v>
      </c>
      <c r="C61" s="4">
        <f t="shared" si="0"/>
        <v>8.9581019166280154</v>
      </c>
      <c r="D61" s="4">
        <v>2365.8624799999998</v>
      </c>
      <c r="E61" s="4">
        <v>86.982273254177883</v>
      </c>
      <c r="F61" s="4">
        <v>-5.6777371099999998</v>
      </c>
      <c r="G61" s="4">
        <v>107.5062961</v>
      </c>
      <c r="T61" s="4">
        <v>-5.6777371099999998</v>
      </c>
      <c r="U61" s="4" t="e">
        <f t="shared" si="1"/>
        <v>#NUM!</v>
      </c>
    </row>
    <row r="62" spans="1:21" ht="15.75" customHeight="1">
      <c r="A62" s="4" t="s">
        <v>68</v>
      </c>
      <c r="B62" s="4">
        <v>7756.9618899999996</v>
      </c>
      <c r="C62" s="4">
        <f t="shared" si="0"/>
        <v>8.9563460274969806</v>
      </c>
      <c r="D62" s="4">
        <v>2840.9600770000002</v>
      </c>
      <c r="E62" s="4">
        <v>84.698043594486549</v>
      </c>
      <c r="F62" s="4">
        <v>7.5793404290000002</v>
      </c>
      <c r="G62" s="4">
        <v>98.395039199999999</v>
      </c>
      <c r="I62" s="3"/>
      <c r="T62" s="4">
        <v>7.5793404290000002</v>
      </c>
      <c r="U62" s="4">
        <f t="shared" si="1"/>
        <v>2.0254261812244869</v>
      </c>
    </row>
    <row r="63" spans="1:21" ht="15.75" customHeight="1">
      <c r="A63" s="4" t="s">
        <v>69</v>
      </c>
      <c r="B63" s="4">
        <v>7655.5942100000002</v>
      </c>
      <c r="C63" s="4">
        <f t="shared" si="0"/>
        <v>8.9431919288545245</v>
      </c>
      <c r="D63" s="4">
        <v>3773.0880099999999</v>
      </c>
      <c r="E63" s="4">
        <v>110.2052843773868</v>
      </c>
      <c r="F63" s="4">
        <v>3.7882728069999998</v>
      </c>
      <c r="G63" s="4">
        <v>118.9443529</v>
      </c>
      <c r="T63" s="4">
        <v>3.7882728069999998</v>
      </c>
      <c r="U63" s="4">
        <f t="shared" si="1"/>
        <v>1.3319101914740068</v>
      </c>
    </row>
    <row r="64" spans="1:21" ht="15.75" customHeight="1">
      <c r="A64" s="4" t="s">
        <v>70</v>
      </c>
      <c r="B64" s="4">
        <v>7606.2375300000003</v>
      </c>
      <c r="C64" s="4">
        <f t="shared" si="0"/>
        <v>8.9367239172932447</v>
      </c>
      <c r="D64" s="4">
        <v>3484.172184</v>
      </c>
      <c r="E64" s="4">
        <v>166.14735737987749</v>
      </c>
      <c r="F64" s="4">
        <v>6.1306757899999997</v>
      </c>
      <c r="G64" s="4">
        <v>111.3030796</v>
      </c>
      <c r="T64" s="4">
        <v>6.1306757899999997</v>
      </c>
      <c r="U64" s="4">
        <f t="shared" si="1"/>
        <v>1.8133049869386839</v>
      </c>
    </row>
    <row r="65" spans="1:21" ht="15.75" customHeight="1">
      <c r="A65" s="4" t="s">
        <v>71</v>
      </c>
      <c r="B65" s="4">
        <v>7589.2996499999999</v>
      </c>
      <c r="C65" s="4">
        <f t="shared" si="0"/>
        <v>8.9344945934050131</v>
      </c>
      <c r="D65" s="4">
        <v>745.19903859999999</v>
      </c>
      <c r="E65" s="4">
        <v>81.813016136809892</v>
      </c>
      <c r="F65" s="4">
        <v>10.141933099999999</v>
      </c>
      <c r="G65" s="4">
        <v>49.538048680000003</v>
      </c>
      <c r="T65" s="4">
        <v>10.141933099999999</v>
      </c>
      <c r="U65" s="4">
        <f t="shared" si="1"/>
        <v>2.3166786210189869</v>
      </c>
    </row>
    <row r="66" spans="1:21" ht="15.75" customHeight="1">
      <c r="A66" s="4" t="s">
        <v>72</v>
      </c>
      <c r="B66" s="4">
        <v>7350.6303399999997</v>
      </c>
      <c r="C66" s="4">
        <f t="shared" si="0"/>
        <v>8.902541349073875</v>
      </c>
      <c r="D66" s="4">
        <v>1568.3140579999999</v>
      </c>
      <c r="E66" s="4">
        <v>57.296975964972141</v>
      </c>
      <c r="F66" s="4">
        <v>4.5522158209999999</v>
      </c>
      <c r="G66" s="4">
        <v>124.1193229</v>
      </c>
      <c r="T66" s="4">
        <v>4.5522158209999999</v>
      </c>
      <c r="U66" s="4">
        <f t="shared" si="1"/>
        <v>1.5156141080463215</v>
      </c>
    </row>
    <row r="67" spans="1:21" ht="15.75" customHeight="1">
      <c r="A67" s="4" t="s">
        <v>73</v>
      </c>
      <c r="B67" s="4">
        <v>6909.3528200000001</v>
      </c>
      <c r="C67" s="4">
        <f t="shared" si="0"/>
        <v>8.8406312539094962</v>
      </c>
      <c r="D67" s="4">
        <v>2828.5504900000001</v>
      </c>
      <c r="E67" s="4">
        <v>132.85871208287119</v>
      </c>
      <c r="F67" s="4">
        <v>2.391798418</v>
      </c>
      <c r="G67" s="4">
        <v>176.2227925</v>
      </c>
      <c r="T67" s="4">
        <v>2.391798418</v>
      </c>
      <c r="U67" s="4">
        <f t="shared" si="1"/>
        <v>0.87204555912581061</v>
      </c>
    </row>
    <row r="68" spans="1:21" ht="15.75" customHeight="1">
      <c r="A68" s="4" t="s">
        <v>74</v>
      </c>
      <c r="B68" s="4">
        <v>6729.8465999999999</v>
      </c>
      <c r="C68" s="4">
        <f t="shared" si="0"/>
        <v>8.8143076289168878</v>
      </c>
      <c r="D68" s="4">
        <v>3682.960979</v>
      </c>
      <c r="E68" s="4">
        <v>114.6954376887181</v>
      </c>
      <c r="F68" s="4">
        <v>9.0365253190000008</v>
      </c>
      <c r="G68" s="4">
        <v>154.01356179999999</v>
      </c>
      <c r="T68" s="4">
        <v>9.0365253190000008</v>
      </c>
      <c r="U68" s="4">
        <f t="shared" si="1"/>
        <v>2.2012747331487579</v>
      </c>
    </row>
    <row r="69" spans="1:21" ht="15.75" customHeight="1">
      <c r="A69" s="4" t="s">
        <v>75</v>
      </c>
      <c r="B69" s="4">
        <v>6680.4450699999998</v>
      </c>
      <c r="C69" s="4">
        <f t="shared" si="0"/>
        <v>8.8069398915567039</v>
      </c>
      <c r="D69" s="4">
        <v>1528.0854609999999</v>
      </c>
      <c r="E69" s="4">
        <v>48.28265511233591</v>
      </c>
      <c r="F69" s="4">
        <v>4.9712413770000001</v>
      </c>
      <c r="G69" s="4">
        <v>156.19516110000001</v>
      </c>
      <c r="T69" s="4">
        <v>4.9712413770000001</v>
      </c>
      <c r="U69" s="4">
        <f t="shared" si="1"/>
        <v>1.6036695829644596</v>
      </c>
    </row>
    <row r="70" spans="1:21" ht="15.75" customHeight="1">
      <c r="A70" s="4" t="s">
        <v>76</v>
      </c>
      <c r="B70" s="4">
        <v>6571.9744600000004</v>
      </c>
      <c r="C70" s="4">
        <f t="shared" si="0"/>
        <v>8.790569592965797</v>
      </c>
      <c r="D70" s="4">
        <v>2403.6777579999998</v>
      </c>
      <c r="E70" s="4">
        <v>103.87862921350801</v>
      </c>
      <c r="F70" s="4">
        <v>4.9999158609999999</v>
      </c>
      <c r="G70" s="4">
        <v>130.5400722</v>
      </c>
      <c r="T70" s="4">
        <v>4.9999158609999999</v>
      </c>
      <c r="U70" s="4">
        <f t="shared" si="1"/>
        <v>1.6094210844925114</v>
      </c>
    </row>
    <row r="71" spans="1:21" ht="15.75" customHeight="1">
      <c r="A71" s="4" t="s">
        <v>77</v>
      </c>
      <c r="B71" s="4">
        <v>6520.7315500000004</v>
      </c>
      <c r="C71" s="4">
        <f t="shared" si="0"/>
        <v>8.7827418495468912</v>
      </c>
      <c r="D71" s="4">
        <v>1373.116483</v>
      </c>
      <c r="E71" s="4">
        <v>68.758794094090007</v>
      </c>
      <c r="F71" s="4">
        <v>-0.72665336999999997</v>
      </c>
      <c r="G71" s="4">
        <v>99.132366189999999</v>
      </c>
      <c r="T71" s="4">
        <v>-0.72665336999999997</v>
      </c>
      <c r="U71" s="4" t="e">
        <f t="shared" si="1"/>
        <v>#NUM!</v>
      </c>
    </row>
    <row r="72" spans="1:21" ht="15.75" customHeight="1">
      <c r="A72" s="4" t="s">
        <v>78</v>
      </c>
      <c r="B72" s="4">
        <v>6515.5852800000002</v>
      </c>
      <c r="C72" s="4">
        <f t="shared" si="0"/>
        <v>8.7819523212875765</v>
      </c>
      <c r="D72" s="4">
        <v>1589.5513759999999</v>
      </c>
      <c r="E72" s="4">
        <v>61.880792818785963</v>
      </c>
      <c r="F72" s="4">
        <v>0.75946792399999996</v>
      </c>
      <c r="G72" s="4">
        <v>98.130902570000003</v>
      </c>
      <c r="T72" s="4">
        <v>0.75946792399999996</v>
      </c>
      <c r="U72" s="4">
        <f t="shared" si="1"/>
        <v>-0.27513719088620775</v>
      </c>
    </row>
    <row r="73" spans="1:21" ht="15.75" customHeight="1">
      <c r="A73" s="4" t="s">
        <v>79</v>
      </c>
      <c r="B73" s="4">
        <v>6205.6259499999996</v>
      </c>
      <c r="C73" s="4">
        <f t="shared" si="0"/>
        <v>8.7332115708747633</v>
      </c>
      <c r="D73" s="4">
        <v>2213.0137810000001</v>
      </c>
      <c r="E73" s="4">
        <v>73.737905021856605</v>
      </c>
      <c r="F73" s="4">
        <v>2.0384471980000001</v>
      </c>
      <c r="G73" s="4">
        <v>128.0880573</v>
      </c>
      <c r="T73" s="4">
        <v>2.0384471980000001</v>
      </c>
      <c r="U73" s="4">
        <f t="shared" si="1"/>
        <v>0.71218834056249825</v>
      </c>
    </row>
    <row r="74" spans="1:21" ht="15.75" customHeight="1">
      <c r="A74" s="4" t="s">
        <v>80</v>
      </c>
      <c r="B74" s="4">
        <v>5986.6369500000001</v>
      </c>
      <c r="C74" s="4">
        <f t="shared" si="0"/>
        <v>8.6972850893672984</v>
      </c>
      <c r="D74" s="4">
        <v>3979.0664339999998</v>
      </c>
      <c r="E74" s="4">
        <v>156.3216846823475</v>
      </c>
      <c r="F74" s="4">
        <v>1.623260334</v>
      </c>
      <c r="G74" s="4">
        <v>192.97309379999999</v>
      </c>
      <c r="T74" s="4">
        <v>1.623260334</v>
      </c>
      <c r="U74" s="4">
        <f t="shared" si="1"/>
        <v>0.48443667862676143</v>
      </c>
    </row>
    <row r="75" spans="1:21" ht="15.75" customHeight="1">
      <c r="A75" s="4" t="s">
        <v>81</v>
      </c>
      <c r="B75" s="4">
        <v>5744.2961800000003</v>
      </c>
      <c r="C75" s="4">
        <f t="shared" si="0"/>
        <v>8.6559626727691885</v>
      </c>
      <c r="D75" s="4">
        <v>2255.3500800000002</v>
      </c>
      <c r="E75" s="4">
        <v>112.1176715797656</v>
      </c>
      <c r="F75" s="4">
        <v>4.034467351</v>
      </c>
      <c r="G75" s="4">
        <v>137.18255189999999</v>
      </c>
      <c r="T75" s="4">
        <v>4.034467351</v>
      </c>
      <c r="U75" s="4">
        <f t="shared" si="1"/>
        <v>1.3948742858210839</v>
      </c>
    </row>
    <row r="76" spans="1:21" ht="15.75" customHeight="1">
      <c r="A76" s="4" t="s">
        <v>82</v>
      </c>
      <c r="B76" s="4">
        <v>5358.7015700000002</v>
      </c>
      <c r="C76" s="4">
        <f t="shared" si="0"/>
        <v>8.5864769803159486</v>
      </c>
      <c r="D76" s="4">
        <v>670.61197249999998</v>
      </c>
      <c r="E76" s="4">
        <v>54.431038482005803</v>
      </c>
      <c r="F76" s="4">
        <v>1.516155269</v>
      </c>
      <c r="G76" s="4">
        <v>115.1564357</v>
      </c>
      <c r="T76" s="4">
        <v>1.516155269</v>
      </c>
      <c r="U76" s="4">
        <f t="shared" si="1"/>
        <v>0.41617770216028743</v>
      </c>
    </row>
    <row r="77" spans="1:21" ht="15.75" customHeight="1">
      <c r="A77" s="4" t="s">
        <v>83</v>
      </c>
      <c r="B77" s="4">
        <v>5074.6021000000001</v>
      </c>
      <c r="C77" s="4">
        <f t="shared" si="0"/>
        <v>8.5320033968953517</v>
      </c>
      <c r="D77" s="4">
        <v>1109.975465</v>
      </c>
      <c r="E77" s="4">
        <v>88.701109377686677</v>
      </c>
      <c r="F77" s="4">
        <v>8.2318757000000006E-2</v>
      </c>
      <c r="G77" s="4">
        <v>183.24895599999999</v>
      </c>
      <c r="T77" s="4">
        <v>8.2318757000000006E-2</v>
      </c>
      <c r="U77" s="4">
        <f t="shared" si="1"/>
        <v>-2.4971562871816162</v>
      </c>
    </row>
    <row r="78" spans="1:21" ht="15.75" customHeight="1">
      <c r="A78" s="4" t="s">
        <v>84</v>
      </c>
      <c r="B78" s="4">
        <v>4993.51487</v>
      </c>
      <c r="C78" s="4">
        <f t="shared" si="0"/>
        <v>8.5158953235499872</v>
      </c>
      <c r="D78" s="4">
        <v>2545.6148790000002</v>
      </c>
      <c r="E78" s="4">
        <v>136.32792994451631</v>
      </c>
      <c r="F78" s="4">
        <v>14.60530651</v>
      </c>
      <c r="G78" s="4">
        <v>142.80858180000001</v>
      </c>
      <c r="T78" s="4">
        <v>14.60530651</v>
      </c>
      <c r="U78" s="4">
        <f t="shared" si="1"/>
        <v>2.6813849222678958</v>
      </c>
    </row>
    <row r="79" spans="1:21" ht="15.75" customHeight="1">
      <c r="A79" s="4" t="s">
        <v>85</v>
      </c>
      <c r="B79" s="4">
        <v>4960.3033400000004</v>
      </c>
      <c r="C79" s="4">
        <f t="shared" si="0"/>
        <v>8.5092221751070092</v>
      </c>
      <c r="D79" s="4">
        <v>1756.587213</v>
      </c>
      <c r="E79" s="4">
        <v>51.1900893683897</v>
      </c>
      <c r="F79" s="4">
        <v>0.10718781199999999</v>
      </c>
      <c r="G79" s="4">
        <v>107.7871159</v>
      </c>
      <c r="T79" s="4">
        <v>0.10718781199999999</v>
      </c>
      <c r="U79" s="4">
        <f t="shared" si="1"/>
        <v>-2.2331727308389424</v>
      </c>
    </row>
    <row r="80" spans="1:21" ht="15.75" customHeight="1">
      <c r="A80" s="4" t="s">
        <v>86</v>
      </c>
      <c r="B80" s="4">
        <v>4730.8348500000002</v>
      </c>
      <c r="C80" s="4">
        <f t="shared" si="0"/>
        <v>8.4618569669685826</v>
      </c>
      <c r="D80" s="4">
        <v>1330.9876839999999</v>
      </c>
      <c r="E80" s="4">
        <v>45.464670195945317</v>
      </c>
      <c r="F80" s="4">
        <v>1.8726410090000001</v>
      </c>
      <c r="G80" s="4">
        <v>122.87301220000001</v>
      </c>
      <c r="T80" s="4">
        <v>1.8726410090000001</v>
      </c>
      <c r="U80" s="4">
        <f t="shared" si="1"/>
        <v>0.6273497387808854</v>
      </c>
    </row>
    <row r="81" spans="1:21" ht="15.75" customHeight="1">
      <c r="A81" s="4" t="s">
        <v>87</v>
      </c>
      <c r="B81" s="4">
        <v>4721.2043700000004</v>
      </c>
      <c r="C81" s="4">
        <f t="shared" si="0"/>
        <v>8.4598192091666178</v>
      </c>
      <c r="D81" s="4">
        <v>3695.725066</v>
      </c>
      <c r="E81" s="4">
        <v>48.9183508223052</v>
      </c>
      <c r="F81" s="4">
        <v>0.354893289</v>
      </c>
      <c r="G81" s="4">
        <v>162.71294370000001</v>
      </c>
      <c r="T81" s="4">
        <v>0.354893289</v>
      </c>
      <c r="U81" s="4">
        <f t="shared" si="1"/>
        <v>-1.0359381290604606</v>
      </c>
    </row>
    <row r="82" spans="1:21" ht="15.75" customHeight="1">
      <c r="A82" s="4" t="s">
        <v>88</v>
      </c>
      <c r="B82" s="4">
        <v>4349.7990799999998</v>
      </c>
      <c r="C82" s="4">
        <f t="shared" si="0"/>
        <v>8.3778849345102611</v>
      </c>
      <c r="D82" s="4">
        <v>1218.827669</v>
      </c>
      <c r="E82" s="4">
        <v>99.262554781406394</v>
      </c>
      <c r="F82" s="4">
        <v>8.4016689380000003</v>
      </c>
      <c r="G82" s="4">
        <v>100.5578161</v>
      </c>
      <c r="T82" s="4">
        <v>8.4016689380000003</v>
      </c>
      <c r="U82" s="4">
        <f t="shared" si="1"/>
        <v>2.1284303692096338</v>
      </c>
    </row>
    <row r="83" spans="1:21" ht="15.75" customHeight="1">
      <c r="A83" s="4" t="s">
        <v>89</v>
      </c>
      <c r="B83" s="4">
        <v>4332.2515999999996</v>
      </c>
      <c r="C83" s="4">
        <f t="shared" si="0"/>
        <v>8.3738426858433872</v>
      </c>
      <c r="D83" s="4">
        <v>1790.647571</v>
      </c>
      <c r="E83" s="4">
        <v>104.0954594391887</v>
      </c>
      <c r="F83" s="4">
        <v>1.9738253539999999</v>
      </c>
      <c r="G83" s="4">
        <v>67.745707429999996</v>
      </c>
      <c r="T83" s="4">
        <v>1.9738253539999999</v>
      </c>
      <c r="U83" s="4">
        <f t="shared" si="1"/>
        <v>0.67997346394634717</v>
      </c>
    </row>
    <row r="84" spans="1:21" ht="15.75" customHeight="1">
      <c r="A84" s="4" t="s">
        <v>90</v>
      </c>
      <c r="B84" s="4">
        <v>4219.4611400000003</v>
      </c>
      <c r="C84" s="4">
        <f t="shared" si="0"/>
        <v>8.3474627069336194</v>
      </c>
      <c r="D84" s="4">
        <v>859.63961380000001</v>
      </c>
      <c r="E84" s="4">
        <v>57.524933578963058</v>
      </c>
      <c r="F84" s="4">
        <v>1.2239191999999999E-2</v>
      </c>
      <c r="G84" s="4">
        <v>101.5715043</v>
      </c>
      <c r="T84" s="4">
        <v>1.2239191999999999E-2</v>
      </c>
      <c r="U84" s="4">
        <f t="shared" si="1"/>
        <v>-4.4031120171488114</v>
      </c>
    </row>
    <row r="85" spans="1:21" ht="15.75" customHeight="1">
      <c r="A85" s="4" t="s">
        <v>91</v>
      </c>
      <c r="B85" s="4">
        <v>4199.6709000000001</v>
      </c>
      <c r="C85" s="4">
        <f t="shared" si="0"/>
        <v>8.3427614440585209</v>
      </c>
      <c r="D85" s="4">
        <v>2419.5855240000001</v>
      </c>
      <c r="E85" s="4">
        <v>87.396513990724387</v>
      </c>
      <c r="F85" s="4">
        <v>0.13642857799999999</v>
      </c>
      <c r="G85" s="4">
        <v>120.26114490000001</v>
      </c>
      <c r="T85" s="4">
        <v>0.13642857799999999</v>
      </c>
      <c r="U85" s="4">
        <f t="shared" si="1"/>
        <v>-1.9919540393891821</v>
      </c>
    </row>
    <row r="86" spans="1:21" ht="15.75" customHeight="1">
      <c r="A86" s="4" t="s">
        <v>92</v>
      </c>
      <c r="B86" s="4">
        <v>4147.6977699999998</v>
      </c>
      <c r="C86" s="4">
        <f t="shared" si="0"/>
        <v>8.3303087050748239</v>
      </c>
      <c r="D86" s="4">
        <v>2624.400893</v>
      </c>
      <c r="E86" s="4">
        <v>183.1536191478358</v>
      </c>
      <c r="F86" s="4">
        <v>4.3294730890000004</v>
      </c>
      <c r="G86" s="4">
        <v>137.8524228</v>
      </c>
      <c r="T86" s="4">
        <v>4.3294730890000004</v>
      </c>
      <c r="U86" s="4">
        <f t="shared" si="1"/>
        <v>1.4654458461571023</v>
      </c>
    </row>
    <row r="87" spans="1:21" ht="15.75" customHeight="1">
      <c r="A87" s="4" t="s">
        <v>93</v>
      </c>
      <c r="B87" s="4">
        <v>3894.16201</v>
      </c>
      <c r="C87" s="4">
        <f t="shared" si="0"/>
        <v>8.2672337901000645</v>
      </c>
      <c r="D87" s="4">
        <v>1155.1237699999999</v>
      </c>
      <c r="E87" s="4">
        <v>92.571587129833361</v>
      </c>
      <c r="F87" s="4">
        <v>0.28125560999999999</v>
      </c>
      <c r="G87" s="4">
        <v>121.49170119999999</v>
      </c>
      <c r="T87" s="4">
        <v>0.28125560999999999</v>
      </c>
      <c r="U87" s="4">
        <f t="shared" si="1"/>
        <v>-1.2684913789957726</v>
      </c>
    </row>
    <row r="88" spans="1:21" ht="15.75" customHeight="1">
      <c r="A88" s="4" t="s">
        <v>94</v>
      </c>
      <c r="B88" s="4">
        <v>3707.2928299999999</v>
      </c>
      <c r="C88" s="4">
        <f t="shared" si="0"/>
        <v>8.2180571938264091</v>
      </c>
      <c r="D88" s="4">
        <v>1595.46721</v>
      </c>
      <c r="E88" s="4">
        <v>116.09579438414571</v>
      </c>
      <c r="F88" s="4">
        <v>1.4315919989999999</v>
      </c>
      <c r="G88" s="4">
        <v>131.87536539999999</v>
      </c>
      <c r="T88" s="4">
        <v>1.4315919989999999</v>
      </c>
      <c r="U88" s="4">
        <f t="shared" si="1"/>
        <v>0.3587871110424814</v>
      </c>
    </row>
    <row r="89" spans="1:21" ht="15.75" customHeight="1">
      <c r="A89" s="4" t="s">
        <v>95</v>
      </c>
      <c r="B89" s="4">
        <v>3682.1131500000001</v>
      </c>
      <c r="C89" s="4">
        <f t="shared" si="0"/>
        <v>8.2112420919020543</v>
      </c>
      <c r="D89" s="4">
        <v>373.03182779999997</v>
      </c>
      <c r="E89" s="4">
        <v>55.25477327138352</v>
      </c>
      <c r="F89" s="4">
        <v>-5.0289928899999996</v>
      </c>
      <c r="G89" s="4">
        <v>66.600807309999993</v>
      </c>
      <c r="I89" s="3"/>
      <c r="T89" s="4">
        <v>-5.0289928899999996</v>
      </c>
      <c r="U89" s="4" t="e">
        <f t="shared" si="1"/>
        <v>#NUM!</v>
      </c>
    </row>
    <row r="90" spans="1:21" ht="15.75" customHeight="1">
      <c r="A90" s="4" t="s">
        <v>96</v>
      </c>
      <c r="B90" s="4">
        <v>3654.3584599999999</v>
      </c>
      <c r="C90" s="4">
        <f t="shared" si="0"/>
        <v>8.2036758328379413</v>
      </c>
      <c r="D90" s="4">
        <v>680.65236089999996</v>
      </c>
      <c r="E90" s="4">
        <v>114.8882782656665</v>
      </c>
      <c r="F90" s="4">
        <v>2.5096616059999999</v>
      </c>
      <c r="G90" s="4">
        <v>74.014834039999997</v>
      </c>
      <c r="T90" s="4">
        <v>2.5096616059999999</v>
      </c>
      <c r="U90" s="4">
        <f t="shared" si="1"/>
        <v>0.92014792572819171</v>
      </c>
    </row>
    <row r="91" spans="1:21" ht="15.75" customHeight="1">
      <c r="A91" s="4" t="s">
        <v>97</v>
      </c>
      <c r="B91" s="4">
        <v>3548.0693099999999</v>
      </c>
      <c r="C91" s="4">
        <f t="shared" si="0"/>
        <v>8.1741588781879333</v>
      </c>
      <c r="D91" s="4">
        <v>884.84697730000005</v>
      </c>
      <c r="E91" s="4">
        <v>72.429683610759909</v>
      </c>
      <c r="F91" s="4">
        <v>2.3475097229999999</v>
      </c>
      <c r="G91" s="4">
        <v>147.42892639999999</v>
      </c>
      <c r="T91" s="4">
        <v>2.3475097229999999</v>
      </c>
      <c r="U91" s="4">
        <f t="shared" si="1"/>
        <v>0.85335507394473864</v>
      </c>
    </row>
    <row r="92" spans="1:21" ht="15.75" customHeight="1">
      <c r="A92" s="4" t="s">
        <v>98</v>
      </c>
      <c r="B92" s="4">
        <v>3463.1377000000002</v>
      </c>
      <c r="C92" s="4">
        <f t="shared" si="0"/>
        <v>8.1499303068229754</v>
      </c>
      <c r="D92" s="4">
        <v>978.27258670000003</v>
      </c>
      <c r="E92" s="4">
        <v>100.90631020165139</v>
      </c>
      <c r="F92" s="4">
        <v>1.7481432370000001</v>
      </c>
      <c r="G92" s="4">
        <v>141.8700024</v>
      </c>
      <c r="T92" s="4">
        <v>1.7481432370000001</v>
      </c>
      <c r="U92" s="4">
        <f t="shared" si="1"/>
        <v>0.55855421724001408</v>
      </c>
    </row>
    <row r="93" spans="1:21" ht="15.75" customHeight="1">
      <c r="A93" s="4" t="s">
        <v>99</v>
      </c>
      <c r="B93" s="4">
        <v>3342.6365000000001</v>
      </c>
      <c r="C93" s="4">
        <f t="shared" si="0"/>
        <v>8.1145151458385971</v>
      </c>
      <c r="D93" s="4">
        <v>657.45457820000001</v>
      </c>
      <c r="E93" s="4">
        <v>46.682608019681929</v>
      </c>
      <c r="F93" s="4">
        <v>1.192493222</v>
      </c>
      <c r="G93" s="4">
        <v>151.72675760000001</v>
      </c>
      <c r="T93" s="4">
        <v>1.192493222</v>
      </c>
      <c r="U93" s="4">
        <f t="shared" si="1"/>
        <v>0.17604625990676367</v>
      </c>
    </row>
    <row r="94" spans="1:21" ht="15.75" customHeight="1">
      <c r="A94" s="4" t="s">
        <v>100</v>
      </c>
      <c r="B94" s="4">
        <v>3155.04207</v>
      </c>
      <c r="C94" s="4">
        <f t="shared" si="0"/>
        <v>8.0567571092762691</v>
      </c>
      <c r="D94" s="4">
        <v>2138.2328590000002</v>
      </c>
      <c r="E94" s="4">
        <v>27.89827706500223</v>
      </c>
      <c r="F94" s="4">
        <v>2.6389328019999998</v>
      </c>
      <c r="G94" s="4">
        <v>66.466773119999999</v>
      </c>
      <c r="T94" s="4">
        <v>2.6389328019999998</v>
      </c>
      <c r="U94" s="4">
        <f t="shared" si="1"/>
        <v>0.97037459376386959</v>
      </c>
    </row>
    <row r="95" spans="1:21" ht="15.75" customHeight="1">
      <c r="A95" s="4" t="s">
        <v>101</v>
      </c>
      <c r="B95" s="4">
        <v>3003.2899699999998</v>
      </c>
      <c r="C95" s="4">
        <f t="shared" si="0"/>
        <v>8.0074636234282632</v>
      </c>
      <c r="D95" s="4">
        <v>757.08112640000002</v>
      </c>
      <c r="E95" s="4">
        <v>112.6985249139662</v>
      </c>
      <c r="F95" s="4">
        <v>2.41292398</v>
      </c>
      <c r="G95" s="4">
        <v>75.85514234</v>
      </c>
      <c r="T95" s="4">
        <v>2.41292398</v>
      </c>
      <c r="U95" s="4">
        <f t="shared" si="1"/>
        <v>0.88083928179519244</v>
      </c>
    </row>
    <row r="96" spans="1:21" ht="15.75" customHeight="1">
      <c r="A96" s="4" t="s">
        <v>102</v>
      </c>
      <c r="B96" s="4">
        <v>2716.4859299999998</v>
      </c>
      <c r="C96" s="4">
        <f t="shared" si="0"/>
        <v>7.9070943865193017</v>
      </c>
      <c r="D96" s="4">
        <v>603.6429564</v>
      </c>
      <c r="E96" s="4">
        <v>33.779967270573493</v>
      </c>
      <c r="F96" s="4">
        <v>0.34796002500000001</v>
      </c>
      <c r="G96" s="4">
        <v>109.8665408</v>
      </c>
      <c r="T96" s="4">
        <v>0.34796002500000001</v>
      </c>
      <c r="U96" s="4">
        <f t="shared" si="1"/>
        <v>-1.0556676764954609</v>
      </c>
    </row>
    <row r="97" spans="1:21" ht="15.75" customHeight="1">
      <c r="A97" s="4" t="s">
        <v>103</v>
      </c>
      <c r="B97" s="4">
        <v>2620.8380400000001</v>
      </c>
      <c r="C97" s="4">
        <f t="shared" si="0"/>
        <v>7.8712494082054283</v>
      </c>
      <c r="D97" s="4">
        <v>305.87708179999998</v>
      </c>
      <c r="E97" s="4">
        <v>98.161336692200081</v>
      </c>
      <c r="F97" s="4">
        <v>3.3650833609999999</v>
      </c>
      <c r="G97" s="4">
        <v>93.62592592</v>
      </c>
      <c r="T97" s="4">
        <v>3.3650833609999999</v>
      </c>
      <c r="U97" s="4">
        <f t="shared" si="1"/>
        <v>1.2134527357467559</v>
      </c>
    </row>
    <row r="98" spans="1:21" ht="15.75" customHeight="1">
      <c r="A98" s="4" t="s">
        <v>104</v>
      </c>
      <c r="B98" s="4">
        <v>2578.66689</v>
      </c>
      <c r="C98" s="4">
        <f t="shared" si="0"/>
        <v>7.8550278350730833</v>
      </c>
      <c r="D98" s="4">
        <v>2094.052326</v>
      </c>
      <c r="E98" s="4">
        <v>62.841252537851709</v>
      </c>
      <c r="F98" s="4">
        <v>2.949474484</v>
      </c>
      <c r="G98" s="4">
        <v>105.4716433</v>
      </c>
      <c r="T98" s="4">
        <v>2.949474484</v>
      </c>
      <c r="U98" s="4">
        <f t="shared" si="1"/>
        <v>1.0816270134657837</v>
      </c>
    </row>
    <row r="99" spans="1:21" ht="15.75" customHeight="1">
      <c r="A99" s="4" t="s">
        <v>105</v>
      </c>
      <c r="B99" s="4">
        <v>2536.4005000000002</v>
      </c>
      <c r="C99" s="4">
        <f t="shared" si="0"/>
        <v>7.8385012289556473</v>
      </c>
      <c r="D99" s="4">
        <v>554.4818563</v>
      </c>
      <c r="E99" s="4">
        <v>55.06735224760363</v>
      </c>
      <c r="F99" s="4">
        <v>0.82625403900000005</v>
      </c>
      <c r="G99" s="4">
        <v>88.99583149</v>
      </c>
      <c r="T99" s="4">
        <v>0.82625403900000005</v>
      </c>
      <c r="U99" s="4">
        <f t="shared" si="1"/>
        <v>-0.19085299947720555</v>
      </c>
    </row>
    <row r="100" spans="1:21" ht="15.75" customHeight="1">
      <c r="A100" s="4" t="s">
        <v>106</v>
      </c>
      <c r="B100" s="4">
        <v>2347.4482899999998</v>
      </c>
      <c r="C100" s="4">
        <f t="shared" si="0"/>
        <v>7.761084183150774</v>
      </c>
      <c r="D100" s="4">
        <v>1085.3352090000001</v>
      </c>
      <c r="E100" s="4">
        <v>50.075270149888198</v>
      </c>
      <c r="F100" s="4">
        <v>1.4924882589999999</v>
      </c>
      <c r="G100" s="4">
        <v>80.181800769999995</v>
      </c>
      <c r="T100" s="4">
        <v>1.4924882589999999</v>
      </c>
      <c r="U100" s="4">
        <f t="shared" si="1"/>
        <v>0.40044469958701101</v>
      </c>
    </row>
    <row r="101" spans="1:21" ht="15.75" customHeight="1">
      <c r="A101" s="4" t="s">
        <v>107</v>
      </c>
      <c r="B101" s="4">
        <v>2333.3712799999998</v>
      </c>
      <c r="C101" s="4">
        <f t="shared" si="0"/>
        <v>7.7550694020942448</v>
      </c>
      <c r="D101" s="4">
        <v>329.56076130000002</v>
      </c>
      <c r="E101" s="4">
        <v>52.866391041348322</v>
      </c>
      <c r="F101" s="4">
        <v>2.2547265329999999</v>
      </c>
      <c r="G101" s="4">
        <v>161.2318334</v>
      </c>
      <c r="T101" s="4">
        <v>2.2547265329999999</v>
      </c>
      <c r="U101" s="4">
        <f t="shared" si="1"/>
        <v>0.81302869420377544</v>
      </c>
    </row>
    <row r="102" spans="1:21" ht="15.75" customHeight="1">
      <c r="A102" s="4" t="s">
        <v>108</v>
      </c>
      <c r="B102" s="4">
        <v>2325.0304999999998</v>
      </c>
      <c r="C102" s="4">
        <f t="shared" si="0"/>
        <v>7.7514884362149825</v>
      </c>
      <c r="D102" s="4">
        <v>813.63937710000005</v>
      </c>
      <c r="E102" s="4">
        <v>145.8736327614059</v>
      </c>
      <c r="F102" s="4">
        <v>8.9483012580000008</v>
      </c>
      <c r="G102" s="4">
        <v>113.3915066</v>
      </c>
      <c r="T102" s="4">
        <v>8.9483012580000008</v>
      </c>
      <c r="U102" s="4">
        <f t="shared" si="1"/>
        <v>2.1914637106963668</v>
      </c>
    </row>
    <row r="103" spans="1:21" ht="15.75" customHeight="1">
      <c r="A103" s="4" t="s">
        <v>109</v>
      </c>
      <c r="B103" s="4">
        <v>2322.8905399999999</v>
      </c>
      <c r="C103" s="4">
        <f t="shared" si="0"/>
        <v>7.7505676115569075</v>
      </c>
      <c r="D103" s="4">
        <v>656.54838299999994</v>
      </c>
      <c r="E103" s="4">
        <v>115.4546787128649</v>
      </c>
      <c r="F103" s="4">
        <v>8.2323965030000004</v>
      </c>
      <c r="G103" s="4">
        <v>104.27848470000001</v>
      </c>
      <c r="T103" s="4">
        <v>8.2323965030000004</v>
      </c>
      <c r="U103" s="4">
        <f t="shared" si="1"/>
        <v>2.1080771634310822</v>
      </c>
    </row>
    <row r="104" spans="1:21" ht="15.75" customHeight="1">
      <c r="A104" s="4" t="s">
        <v>110</v>
      </c>
      <c r="B104" s="4">
        <v>2229.8912300000002</v>
      </c>
      <c r="C104" s="4">
        <f t="shared" si="0"/>
        <v>7.709708087479834</v>
      </c>
      <c r="D104" s="4">
        <v>552.50282119999997</v>
      </c>
      <c r="E104" s="4">
        <v>70.115455795890711</v>
      </c>
      <c r="F104" s="4">
        <v>1.9324012429999999</v>
      </c>
      <c r="G104" s="4">
        <v>120.803416</v>
      </c>
      <c r="T104" s="4">
        <v>1.9324012429999999</v>
      </c>
      <c r="U104" s="4">
        <f t="shared" si="1"/>
        <v>0.6587633969394725</v>
      </c>
    </row>
    <row r="105" spans="1:21" ht="15.75" customHeight="1">
      <c r="A105" s="4" t="s">
        <v>111</v>
      </c>
      <c r="B105" s="4">
        <v>2109.5628900000002</v>
      </c>
      <c r="C105" s="4">
        <f t="shared" si="0"/>
        <v>7.6542360438718395</v>
      </c>
      <c r="D105" s="4">
        <v>189.35546540000001</v>
      </c>
      <c r="E105" s="4">
        <v>40.275323837356098</v>
      </c>
      <c r="F105" s="4">
        <v>0.69164598300000002</v>
      </c>
      <c r="G105" s="4">
        <v>121.16899909999999</v>
      </c>
      <c r="T105" s="4">
        <v>0.69164598300000002</v>
      </c>
      <c r="U105" s="4">
        <f t="shared" si="1"/>
        <v>-0.36868103952896997</v>
      </c>
    </row>
    <row r="106" spans="1:21" ht="15.75" customHeight="1">
      <c r="A106" s="4" t="s">
        <v>112</v>
      </c>
      <c r="B106" s="4">
        <v>1760.62636</v>
      </c>
      <c r="C106" s="4">
        <f t="shared" si="0"/>
        <v>7.4734249110833026</v>
      </c>
      <c r="D106" s="4">
        <v>76.236964299999997</v>
      </c>
      <c r="E106" s="4">
        <v>36.529550283828009</v>
      </c>
      <c r="F106" s="4">
        <v>0.19459895299999999</v>
      </c>
      <c r="G106" s="4">
        <v>65.188932929999993</v>
      </c>
      <c r="T106" s="4">
        <v>0.19459895299999999</v>
      </c>
      <c r="U106" s="4">
        <f t="shared" si="1"/>
        <v>-1.636814489511921</v>
      </c>
    </row>
    <row r="107" spans="1:21" ht="15.75" customHeight="1">
      <c r="A107" s="4" t="s">
        <v>113</v>
      </c>
      <c r="B107" s="4">
        <v>1739.72018</v>
      </c>
      <c r="C107" s="4">
        <f t="shared" si="0"/>
        <v>7.4614795631843265</v>
      </c>
      <c r="D107" s="4">
        <v>1971.263989</v>
      </c>
      <c r="E107" s="4">
        <v>133.78671804876561</v>
      </c>
      <c r="F107" s="4">
        <v>0.45199268100000001</v>
      </c>
      <c r="G107" s="4">
        <v>106.925973</v>
      </c>
      <c r="T107" s="4">
        <v>0.45199268100000001</v>
      </c>
      <c r="U107" s="4">
        <f t="shared" si="1"/>
        <v>-0.79408929175888154</v>
      </c>
    </row>
    <row r="108" spans="1:21" ht="15.75" customHeight="1">
      <c r="A108" s="4" t="s">
        <v>114</v>
      </c>
      <c r="B108" s="4">
        <v>1604.87727</v>
      </c>
      <c r="C108" s="4">
        <f t="shared" si="0"/>
        <v>7.3808025653506242</v>
      </c>
      <c r="D108" s="4">
        <v>222.9237162</v>
      </c>
      <c r="E108" s="4">
        <v>41.286602559467859</v>
      </c>
      <c r="F108" s="4">
        <v>2.0873503219999998</v>
      </c>
      <c r="G108" s="4">
        <v>89.827419050000003</v>
      </c>
      <c r="T108" s="4">
        <v>2.0873503219999998</v>
      </c>
      <c r="U108" s="4">
        <f t="shared" si="1"/>
        <v>0.73589547313623138</v>
      </c>
    </row>
    <row r="109" spans="1:21" ht="15.75" customHeight="1">
      <c r="A109" s="4" t="s">
        <v>115</v>
      </c>
      <c r="B109" s="4">
        <v>1574.02811</v>
      </c>
      <c r="C109" s="4">
        <f t="shared" si="0"/>
        <v>7.3613932877759476</v>
      </c>
      <c r="D109" s="4">
        <v>399.52177490000003</v>
      </c>
      <c r="E109" s="4">
        <v>79.599821651583198</v>
      </c>
      <c r="F109" s="4">
        <v>10.5411242</v>
      </c>
      <c r="G109" s="4">
        <v>118.1502935</v>
      </c>
      <c r="T109" s="4">
        <v>10.5411242</v>
      </c>
      <c r="U109" s="4">
        <f t="shared" si="1"/>
        <v>2.3552841977669625</v>
      </c>
    </row>
    <row r="110" spans="1:21" ht="15.75" customHeight="1">
      <c r="A110" s="4" t="s">
        <v>116</v>
      </c>
      <c r="B110" s="4">
        <v>1538.3228099999999</v>
      </c>
      <c r="C110" s="4">
        <f t="shared" si="0"/>
        <v>7.3384480175087168</v>
      </c>
      <c r="D110" s="4">
        <v>517.07285639999998</v>
      </c>
      <c r="E110" s="4">
        <v>33.031353478032031</v>
      </c>
      <c r="F110" s="4">
        <v>0.38998075399999999</v>
      </c>
      <c r="G110" s="4">
        <v>79.105053909999995</v>
      </c>
      <c r="T110" s="4">
        <v>0.38998075399999999</v>
      </c>
      <c r="U110" s="4">
        <f t="shared" si="1"/>
        <v>-0.94165788979408171</v>
      </c>
    </row>
    <row r="111" spans="1:21" ht="15.75" customHeight="1">
      <c r="A111" s="4" t="s">
        <v>117</v>
      </c>
      <c r="B111" s="4">
        <v>1447.1231</v>
      </c>
      <c r="C111" s="4">
        <f t="shared" si="0"/>
        <v>7.2773327955769442</v>
      </c>
      <c r="D111" s="4">
        <v>704.81038550000005</v>
      </c>
      <c r="E111" s="4">
        <v>69.297315419320299</v>
      </c>
      <c r="F111" s="4">
        <v>-0.22328676</v>
      </c>
      <c r="G111" s="4">
        <v>98.437260120000005</v>
      </c>
      <c r="T111" s="4">
        <v>-0.22328676</v>
      </c>
      <c r="U111" s="4" t="e">
        <f t="shared" si="1"/>
        <v>#NUM!</v>
      </c>
    </row>
    <row r="112" spans="1:21" ht="15.75" customHeight="1">
      <c r="A112" s="4" t="s">
        <v>118</v>
      </c>
      <c r="B112" s="4">
        <v>1385.91066</v>
      </c>
      <c r="C112" s="4">
        <f t="shared" si="0"/>
        <v>7.2341127187978271</v>
      </c>
      <c r="D112" s="4">
        <v>321.38178959999999</v>
      </c>
      <c r="E112" s="4">
        <v>48.973401479942773</v>
      </c>
      <c r="F112" s="4">
        <v>0.160405405</v>
      </c>
      <c r="G112" s="4">
        <v>121.1144874</v>
      </c>
      <c r="T112" s="4">
        <v>0.160405405</v>
      </c>
      <c r="U112" s="4">
        <f t="shared" si="1"/>
        <v>-1.830050887109973</v>
      </c>
    </row>
    <row r="113" spans="1:21" ht="15.75" customHeight="1">
      <c r="A113" s="4" t="s">
        <v>119</v>
      </c>
      <c r="B113" s="4">
        <v>1266.4271100000001</v>
      </c>
      <c r="C113" s="4">
        <f t="shared" si="0"/>
        <v>7.1439549154760176</v>
      </c>
      <c r="D113" s="4">
        <v>105.3090515</v>
      </c>
      <c r="E113" s="4">
        <v>44.381592887742407</v>
      </c>
      <c r="F113" s="4">
        <v>2.1577053749999999</v>
      </c>
      <c r="G113" s="4">
        <v>105.7450194</v>
      </c>
      <c r="T113" s="4">
        <v>2.1577053749999999</v>
      </c>
      <c r="U113" s="4">
        <f t="shared" si="1"/>
        <v>0.76904533063856273</v>
      </c>
    </row>
    <row r="114" spans="1:21" ht="15.75" customHeight="1">
      <c r="A114" s="4" t="s">
        <v>120</v>
      </c>
      <c r="B114" s="4">
        <v>1207.52063</v>
      </c>
      <c r="C114" s="4">
        <f t="shared" si="0"/>
        <v>7.0963244702669108</v>
      </c>
      <c r="D114" s="4">
        <v>131.64519050000001</v>
      </c>
      <c r="E114" s="4">
        <v>35.003451710199379</v>
      </c>
      <c r="F114" s="4">
        <v>1.897811004</v>
      </c>
      <c r="G114" s="4">
        <v>93.015974619999994</v>
      </c>
      <c r="T114" s="4">
        <v>1.897811004</v>
      </c>
      <c r="U114" s="4">
        <f t="shared" si="1"/>
        <v>0.64070111883347114</v>
      </c>
    </row>
    <row r="115" spans="1:21" ht="15.75" customHeight="1">
      <c r="A115" s="4" t="s">
        <v>121</v>
      </c>
      <c r="B115" s="4">
        <v>1052.17949</v>
      </c>
      <c r="C115" s="4">
        <f t="shared" si="0"/>
        <v>6.9586189966148044</v>
      </c>
      <c r="D115" s="4">
        <v>1475.6111189999999</v>
      </c>
      <c r="E115" s="4">
        <v>65.435511589357745</v>
      </c>
      <c r="F115" s="4">
        <v>1.6243228750000001</v>
      </c>
      <c r="G115" s="4">
        <v>63.844208070000001</v>
      </c>
      <c r="T115" s="4">
        <v>1.6243228750000001</v>
      </c>
      <c r="U115" s="4">
        <f t="shared" si="1"/>
        <v>0.48509103663364422</v>
      </c>
    </row>
    <row r="116" spans="1:21" ht="15.75" customHeight="1">
      <c r="A116" s="4" t="s">
        <v>122</v>
      </c>
      <c r="B116" s="4">
        <v>1046.2408399999999</v>
      </c>
      <c r="C116" s="4">
        <f t="shared" si="0"/>
        <v>6.9529588666877009</v>
      </c>
      <c r="D116" s="4">
        <v>280.62092030000002</v>
      </c>
      <c r="E116" s="4">
        <v>2.6988344358585579</v>
      </c>
      <c r="F116" s="4">
        <v>1.1100042160000001</v>
      </c>
      <c r="G116" s="4">
        <v>70.208403860000004</v>
      </c>
      <c r="T116" s="4">
        <v>1.1100042160000001</v>
      </c>
      <c r="U116" s="4">
        <f t="shared" si="1"/>
        <v>0.10436381351522792</v>
      </c>
    </row>
    <row r="117" spans="1:21" ht="15.75" customHeight="1">
      <c r="A117" s="4" t="s">
        <v>123</v>
      </c>
      <c r="B117" s="4">
        <v>982.103162</v>
      </c>
      <c r="C117" s="4">
        <f t="shared" si="0"/>
        <v>6.8896963557899475</v>
      </c>
      <c r="D117" s="4">
        <v>95.649943759999999</v>
      </c>
      <c r="E117" s="4">
        <v>26.595499696731281</v>
      </c>
      <c r="F117" s="4">
        <v>2.9803331590000002</v>
      </c>
      <c r="G117" s="4">
        <v>56.964298880000001</v>
      </c>
      <c r="T117" s="4">
        <v>2.9803331590000002</v>
      </c>
      <c r="U117" s="4">
        <f t="shared" si="1"/>
        <v>1.092035092590494</v>
      </c>
    </row>
    <row r="118" spans="1:21" ht="15.75" customHeight="1">
      <c r="A118" s="4" t="s">
        <v>124</v>
      </c>
      <c r="B118" s="4">
        <v>975.46932400000003</v>
      </c>
      <c r="C118" s="4">
        <f t="shared" si="0"/>
        <v>6.8829187131309917</v>
      </c>
      <c r="D118" s="4">
        <v>69.518563799999995</v>
      </c>
      <c r="E118" s="4">
        <v>61.145079503365132</v>
      </c>
      <c r="F118" s="4">
        <v>2.2912148879999998</v>
      </c>
      <c r="G118" s="4">
        <v>80.595222489999998</v>
      </c>
      <c r="T118" s="4">
        <v>2.2912148879999998</v>
      </c>
      <c r="U118" s="4">
        <f t="shared" si="1"/>
        <v>0.82908219566810604</v>
      </c>
    </row>
    <row r="119" spans="1:21" ht="15.75" customHeight="1">
      <c r="A119" s="4" t="s">
        <v>125</v>
      </c>
      <c r="B119" s="4">
        <v>966.03646800000001</v>
      </c>
      <c r="C119" s="4">
        <f t="shared" si="0"/>
        <v>6.8732015850527413</v>
      </c>
      <c r="D119" s="4">
        <v>15.55107482</v>
      </c>
      <c r="E119" s="4">
        <v>47.988378431942941</v>
      </c>
      <c r="F119" s="4">
        <v>3.4440262750000001</v>
      </c>
      <c r="G119" s="4">
        <v>65.437779550000002</v>
      </c>
      <c r="T119" s="4">
        <v>3.4440262750000001</v>
      </c>
      <c r="U119" s="4">
        <f t="shared" si="1"/>
        <v>1.2366412157466029</v>
      </c>
    </row>
    <row r="120" spans="1:21" ht="15.75" customHeight="1">
      <c r="A120" s="4" t="s">
        <v>126</v>
      </c>
      <c r="B120" s="4">
        <v>963.06731400000001</v>
      </c>
      <c r="C120" s="4">
        <f t="shared" si="0"/>
        <v>6.8701233096667389</v>
      </c>
      <c r="D120" s="4">
        <v>89.848989660000001</v>
      </c>
      <c r="E120" s="4">
        <v>34.505301927093733</v>
      </c>
      <c r="F120" s="4">
        <v>6.480676163</v>
      </c>
      <c r="G120" s="4">
        <v>70.1401118</v>
      </c>
      <c r="T120" s="4">
        <v>6.480676163</v>
      </c>
      <c r="U120" s="4">
        <f t="shared" si="1"/>
        <v>1.8688248510624788</v>
      </c>
    </row>
    <row r="121" spans="1:21" ht="15.75" customHeight="1">
      <c r="A121" s="4" t="s">
        <v>127</v>
      </c>
      <c r="B121" s="4">
        <v>951.23237900000004</v>
      </c>
      <c r="C121" s="4">
        <f t="shared" si="0"/>
        <v>6.857758384957017</v>
      </c>
      <c r="D121" s="4">
        <v>192.85484360000001</v>
      </c>
      <c r="E121" s="4">
        <v>61.575092396894007</v>
      </c>
      <c r="F121" s="4">
        <v>-2.00429827</v>
      </c>
      <c r="G121" s="4">
        <v>72.2147547</v>
      </c>
      <c r="T121" s="4">
        <v>-2.00429827</v>
      </c>
      <c r="U121" s="4" t="e">
        <f t="shared" si="1"/>
        <v>#NUM!</v>
      </c>
    </row>
    <row r="122" spans="1:21" ht="15.75" customHeight="1">
      <c r="A122" s="4" t="s">
        <v>128</v>
      </c>
      <c r="B122" s="4">
        <v>827.33084299999996</v>
      </c>
      <c r="C122" s="4">
        <f t="shared" si="0"/>
        <v>6.71820466701939</v>
      </c>
      <c r="D122" s="4">
        <v>126.61580650000001</v>
      </c>
      <c r="E122" s="4">
        <v>67.520290133165545</v>
      </c>
      <c r="F122" s="4">
        <v>3.5964079359999999</v>
      </c>
      <c r="G122" s="4">
        <v>113.99614680000001</v>
      </c>
      <c r="T122" s="4">
        <v>3.5964079359999999</v>
      </c>
      <c r="U122" s="4">
        <f t="shared" si="1"/>
        <v>1.2799355517771416</v>
      </c>
    </row>
    <row r="123" spans="1:21" ht="15.75" customHeight="1">
      <c r="A123" s="4" t="s">
        <v>129</v>
      </c>
      <c r="B123" s="4">
        <v>687.73858800000005</v>
      </c>
      <c r="C123" s="4">
        <f t="shared" si="0"/>
        <v>6.5334088064281923</v>
      </c>
      <c r="D123" s="4">
        <v>130.66793150000001</v>
      </c>
      <c r="E123" s="4">
        <v>85.822169187995812</v>
      </c>
      <c r="F123" s="4">
        <v>2.0013162279999999</v>
      </c>
      <c r="G123" s="4">
        <v>48.677353420000003</v>
      </c>
      <c r="T123" s="4">
        <v>2.0013162279999999</v>
      </c>
      <c r="U123" s="4">
        <f t="shared" si="1"/>
        <v>0.69380507809789271</v>
      </c>
    </row>
    <row r="124" spans="1:21" ht="15.75" customHeight="1">
      <c r="A124" s="4" t="s">
        <v>130</v>
      </c>
      <c r="B124" s="4">
        <v>609.74514799999997</v>
      </c>
      <c r="C124" s="4">
        <f t="shared" si="0"/>
        <v>6.4130410797047963</v>
      </c>
      <c r="D124" s="4">
        <v>60.011125960000001</v>
      </c>
      <c r="E124" s="4">
        <v>52.806148432733202</v>
      </c>
      <c r="F124" s="4">
        <v>6.2588083430000001</v>
      </c>
      <c r="G124" s="4">
        <v>63.377054800000003</v>
      </c>
      <c r="T124" s="4">
        <v>6.2588083430000001</v>
      </c>
      <c r="U124" s="4">
        <f t="shared" si="1"/>
        <v>1.8339898064480082</v>
      </c>
    </row>
    <row r="125" spans="1:21" ht="15.75" customHeight="1">
      <c r="A125" s="4" t="s">
        <v>131</v>
      </c>
      <c r="B125" s="4">
        <v>578.25166400000001</v>
      </c>
      <c r="C125" s="4">
        <f t="shared" si="0"/>
        <v>6.360009178755484</v>
      </c>
      <c r="D125" s="4">
        <v>397.688087</v>
      </c>
      <c r="E125" s="4">
        <v>135.2795784169914</v>
      </c>
      <c r="F125" s="4">
        <v>16.00429471</v>
      </c>
      <c r="G125" s="4">
        <v>45.817819970000002</v>
      </c>
      <c r="T125" s="4">
        <v>16.00429471</v>
      </c>
      <c r="U125" s="4">
        <f t="shared" si="1"/>
        <v>2.7728571055967461</v>
      </c>
    </row>
    <row r="126" spans="1:21" ht="15.75" customHeight="1">
      <c r="A126" s="4" t="s">
        <v>27</v>
      </c>
      <c r="B126" s="4">
        <v>503.51453299999997</v>
      </c>
      <c r="C126" s="4">
        <f t="shared" si="0"/>
        <v>6.2216125756943947</v>
      </c>
      <c r="D126" s="4">
        <v>81.314806869999998</v>
      </c>
      <c r="E126" s="4">
        <v>70.547134413096117</v>
      </c>
      <c r="F126" s="4">
        <v>3.0527259249999998</v>
      </c>
      <c r="G126" s="4">
        <v>64.749492410000002</v>
      </c>
      <c r="T126" s="4">
        <v>3.0527259249999998</v>
      </c>
      <c r="U126" s="4">
        <f t="shared" si="1"/>
        <v>1.116034937367901</v>
      </c>
    </row>
    <row r="127" spans="1:21" ht="15.75" customHeight="1"/>
    <row r="128" spans="1:21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workbookViewId="0"/>
  </sheetViews>
  <sheetFormatPr defaultColWidth="12.5703125" defaultRowHeight="15" customHeight="1"/>
  <cols>
    <col min="1" max="1" width="68.5703125" customWidth="1"/>
    <col min="2" max="2" width="24.42578125" customWidth="1"/>
    <col min="3" max="3" width="22" customWidth="1"/>
    <col min="4" max="21" width="8.5703125" customWidth="1"/>
  </cols>
  <sheetData>
    <row r="1" spans="1:21" ht="27" customHeight="1">
      <c r="A1" s="7" t="s">
        <v>0</v>
      </c>
      <c r="B1" s="7" t="s">
        <v>132</v>
      </c>
      <c r="C1" s="7" t="s">
        <v>133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20.25" customHeight="1">
      <c r="A2" s="4" t="s">
        <v>134</v>
      </c>
      <c r="B2" s="4" t="s">
        <v>135</v>
      </c>
      <c r="C2" s="4">
        <v>160.63454641801471</v>
      </c>
    </row>
    <row r="3" spans="1:21" ht="20.25" customHeight="1">
      <c r="A3" s="4" t="s">
        <v>136</v>
      </c>
      <c r="B3" s="4" t="s">
        <v>137</v>
      </c>
      <c r="C3" s="4">
        <v>57.152776271151687</v>
      </c>
    </row>
    <row r="4" spans="1:21" ht="20.25" customHeight="1">
      <c r="A4" s="4" t="s">
        <v>138</v>
      </c>
      <c r="B4" s="4" t="s">
        <v>139</v>
      </c>
      <c r="C4" s="4">
        <v>72.885469608653608</v>
      </c>
    </row>
    <row r="5" spans="1:21" ht="20.25" customHeight="1">
      <c r="A5" s="4" t="s">
        <v>140</v>
      </c>
      <c r="B5" s="4" t="s">
        <v>141</v>
      </c>
      <c r="C5" s="4"/>
    </row>
    <row r="6" spans="1:21" ht="20.25" customHeight="1">
      <c r="A6" s="4" t="s">
        <v>95</v>
      </c>
      <c r="B6" s="4" t="s">
        <v>142</v>
      </c>
      <c r="C6" s="4">
        <v>55.25477327138352</v>
      </c>
    </row>
    <row r="7" spans="1:21" ht="20.25" customHeight="1">
      <c r="A7" s="4" t="s">
        <v>68</v>
      </c>
      <c r="B7" s="4" t="s">
        <v>143</v>
      </c>
      <c r="C7" s="4">
        <v>84.698043594486549</v>
      </c>
    </row>
    <row r="8" spans="1:21" ht="20.25" customHeight="1">
      <c r="A8" s="4" t="s">
        <v>144</v>
      </c>
      <c r="B8" s="4" t="s">
        <v>145</v>
      </c>
      <c r="C8" s="4"/>
    </row>
    <row r="9" spans="1:21" ht="20.25" customHeight="1">
      <c r="A9" s="4" t="s">
        <v>146</v>
      </c>
      <c r="B9" s="4" t="s">
        <v>147</v>
      </c>
      <c r="C9" s="4">
        <v>86.793239317949755</v>
      </c>
    </row>
    <row r="10" spans="1:21" ht="20.25" customHeight="1">
      <c r="A10" s="4" t="s">
        <v>148</v>
      </c>
      <c r="B10" s="4" t="s">
        <v>149</v>
      </c>
      <c r="C10" s="4">
        <v>185.74166098281859</v>
      </c>
    </row>
    <row r="11" spans="1:21" ht="20.25" customHeight="1">
      <c r="A11" s="4" t="s">
        <v>52</v>
      </c>
      <c r="B11" s="4" t="s">
        <v>150</v>
      </c>
      <c r="C11" s="4">
        <v>31.580179260625609</v>
      </c>
    </row>
    <row r="12" spans="1:21" ht="20.25" customHeight="1">
      <c r="A12" s="4" t="s">
        <v>76</v>
      </c>
      <c r="B12" s="4" t="s">
        <v>151</v>
      </c>
      <c r="C12" s="4">
        <v>103.87862921350801</v>
      </c>
    </row>
    <row r="13" spans="1:21" ht="20.25" customHeight="1">
      <c r="A13" s="4" t="s">
        <v>152</v>
      </c>
      <c r="B13" s="4" t="s">
        <v>153</v>
      </c>
      <c r="C13" s="4">
        <v>124.6842709529277</v>
      </c>
    </row>
    <row r="14" spans="1:21" ht="20.25" customHeight="1">
      <c r="A14" s="4" t="s">
        <v>154</v>
      </c>
      <c r="B14" s="4" t="s">
        <v>155</v>
      </c>
      <c r="C14" s="4">
        <v>117.7035277683527</v>
      </c>
    </row>
    <row r="15" spans="1:21" ht="20.25" customHeight="1">
      <c r="A15" s="4" t="s">
        <v>13</v>
      </c>
      <c r="B15" s="4" t="s">
        <v>156</v>
      </c>
      <c r="C15" s="4">
        <v>45.694641880575219</v>
      </c>
    </row>
    <row r="16" spans="1:21" ht="20.25" customHeight="1">
      <c r="A16" s="4" t="s">
        <v>18</v>
      </c>
      <c r="B16" s="4" t="s">
        <v>157</v>
      </c>
      <c r="C16" s="4">
        <v>123.5795786529019</v>
      </c>
    </row>
    <row r="17" spans="1:3" ht="20.25" customHeight="1">
      <c r="A17" s="4" t="s">
        <v>67</v>
      </c>
      <c r="B17" s="4" t="s">
        <v>158</v>
      </c>
      <c r="C17" s="4">
        <v>86.982273254177883</v>
      </c>
    </row>
    <row r="18" spans="1:3" ht="20.25" customHeight="1">
      <c r="A18" s="4" t="s">
        <v>159</v>
      </c>
      <c r="B18" s="4" t="s">
        <v>160</v>
      </c>
      <c r="C18" s="4"/>
    </row>
    <row r="19" spans="1:3" ht="20.25" customHeight="1">
      <c r="A19" s="4" t="s">
        <v>19</v>
      </c>
      <c r="B19" s="4" t="s">
        <v>161</v>
      </c>
      <c r="C19" s="4">
        <v>191.1790313037861</v>
      </c>
    </row>
    <row r="20" spans="1:3" ht="20.25" customHeight="1">
      <c r="A20" s="4" t="s">
        <v>119</v>
      </c>
      <c r="B20" s="4" t="s">
        <v>162</v>
      </c>
      <c r="C20" s="4">
        <v>44.381592887742407</v>
      </c>
    </row>
    <row r="21" spans="1:3" ht="15.75" customHeight="1">
      <c r="A21" s="4" t="s">
        <v>128</v>
      </c>
      <c r="B21" s="4" t="s">
        <v>163</v>
      </c>
      <c r="C21" s="4">
        <v>67.520290133165545</v>
      </c>
    </row>
    <row r="22" spans="1:3" ht="15.75" customHeight="1">
      <c r="A22" s="4" t="s">
        <v>102</v>
      </c>
      <c r="B22" s="4" t="s">
        <v>164</v>
      </c>
      <c r="C22" s="4">
        <v>33.779967270573493</v>
      </c>
    </row>
    <row r="23" spans="1:3" ht="15.75" customHeight="1">
      <c r="A23" s="4" t="s">
        <v>51</v>
      </c>
      <c r="B23" s="4" t="s">
        <v>165</v>
      </c>
      <c r="C23" s="4">
        <v>138.84487724123849</v>
      </c>
    </row>
    <row r="24" spans="1:3" ht="15.75" customHeight="1">
      <c r="A24" s="4" t="s">
        <v>32</v>
      </c>
      <c r="B24" s="4" t="s">
        <v>166</v>
      </c>
      <c r="C24" s="4">
        <v>167.1412411525348</v>
      </c>
    </row>
    <row r="25" spans="1:3" ht="15.75" customHeight="1">
      <c r="A25" s="4" t="s">
        <v>167</v>
      </c>
      <c r="B25" s="4" t="s">
        <v>168</v>
      </c>
      <c r="C25" s="4">
        <v>75.982960105923667</v>
      </c>
    </row>
    <row r="26" spans="1:3" ht="15.75" customHeight="1">
      <c r="A26" s="4" t="s">
        <v>69</v>
      </c>
      <c r="B26" s="4" t="s">
        <v>169</v>
      </c>
      <c r="C26" s="4">
        <v>110.2052843773868</v>
      </c>
    </row>
    <row r="27" spans="1:3" ht="15.75" customHeight="1">
      <c r="A27" s="4" t="s">
        <v>66</v>
      </c>
      <c r="B27" s="4" t="s">
        <v>170</v>
      </c>
      <c r="C27" s="4">
        <v>120.0242075760939</v>
      </c>
    </row>
    <row r="28" spans="1:3" ht="15.75" customHeight="1">
      <c r="A28" s="4" t="s">
        <v>171</v>
      </c>
      <c r="B28" s="4" t="s">
        <v>172</v>
      </c>
      <c r="C28" s="4">
        <v>107.8402500860367</v>
      </c>
    </row>
    <row r="29" spans="1:3" ht="15.75" customHeight="1">
      <c r="A29" s="4" t="s">
        <v>173</v>
      </c>
      <c r="B29" s="4" t="s">
        <v>174</v>
      </c>
      <c r="C29" s="4">
        <v>75.197225026322698</v>
      </c>
    </row>
    <row r="30" spans="1:3" ht="15.75" customHeight="1">
      <c r="A30" s="4" t="s">
        <v>90</v>
      </c>
      <c r="B30" s="4" t="s">
        <v>175</v>
      </c>
      <c r="C30" s="4">
        <v>57.524933578963058</v>
      </c>
    </row>
    <row r="31" spans="1:3" ht="15.75" customHeight="1">
      <c r="A31" s="4" t="s">
        <v>63</v>
      </c>
      <c r="B31" s="4" t="s">
        <v>176</v>
      </c>
      <c r="C31" s="4">
        <v>38.816065976432142</v>
      </c>
    </row>
    <row r="32" spans="1:3" ht="15.75" customHeight="1">
      <c r="A32" s="4" t="s">
        <v>177</v>
      </c>
      <c r="B32" s="4" t="s">
        <v>178</v>
      </c>
      <c r="C32" s="4"/>
    </row>
    <row r="33" spans="1:3" ht="15.75" customHeight="1">
      <c r="A33" s="4" t="s">
        <v>26</v>
      </c>
      <c r="B33" s="4" t="s">
        <v>179</v>
      </c>
      <c r="C33" s="4">
        <v>146.97396587959719</v>
      </c>
    </row>
    <row r="34" spans="1:3" ht="15.75" customHeight="1">
      <c r="A34" s="4" t="s">
        <v>180</v>
      </c>
      <c r="B34" s="4" t="s">
        <v>181</v>
      </c>
      <c r="C34" s="4">
        <v>85.571216522613895</v>
      </c>
    </row>
    <row r="35" spans="1:3" ht="15.75" customHeight="1">
      <c r="A35" s="4" t="s">
        <v>65</v>
      </c>
      <c r="B35" s="4" t="s">
        <v>182</v>
      </c>
      <c r="C35" s="4">
        <v>85.611707754343186</v>
      </c>
    </row>
    <row r="36" spans="1:3" ht="15.75" customHeight="1">
      <c r="A36" s="4" t="s">
        <v>183</v>
      </c>
      <c r="B36" s="4" t="s">
        <v>184</v>
      </c>
      <c r="C36" s="4">
        <v>45.233570001620002</v>
      </c>
    </row>
    <row r="37" spans="1:3" ht="15.75" customHeight="1">
      <c r="A37" s="4" t="s">
        <v>15</v>
      </c>
      <c r="B37" s="4" t="s">
        <v>185</v>
      </c>
      <c r="C37" s="4">
        <v>67.317621556398947</v>
      </c>
    </row>
    <row r="38" spans="1:3" ht="15.75" customHeight="1">
      <c r="A38" s="4" t="s">
        <v>186</v>
      </c>
      <c r="B38" s="4" t="s">
        <v>187</v>
      </c>
      <c r="C38" s="4">
        <v>139.83650926868009</v>
      </c>
    </row>
    <row r="39" spans="1:3" ht="15.75" customHeight="1">
      <c r="A39" s="4" t="s">
        <v>9</v>
      </c>
      <c r="B39" s="4" t="s">
        <v>188</v>
      </c>
      <c r="C39" s="4">
        <v>138.50069875351929</v>
      </c>
    </row>
    <row r="40" spans="1:3" ht="15.75" customHeight="1">
      <c r="A40" s="4" t="s">
        <v>189</v>
      </c>
      <c r="B40" s="4" t="s">
        <v>190</v>
      </c>
      <c r="C40" s="4"/>
    </row>
    <row r="41" spans="1:3" ht="15.75" customHeight="1">
      <c r="A41" s="4" t="s">
        <v>50</v>
      </c>
      <c r="B41" s="4" t="s">
        <v>191</v>
      </c>
      <c r="C41" s="4">
        <v>75.201617742530331</v>
      </c>
    </row>
    <row r="42" spans="1:3" ht="15.75" customHeight="1">
      <c r="A42" s="4" t="s">
        <v>54</v>
      </c>
      <c r="B42" s="4" t="s">
        <v>192</v>
      </c>
      <c r="C42" s="4">
        <v>37.440719876365989</v>
      </c>
    </row>
    <row r="43" spans="1:3" ht="15.75" customHeight="1">
      <c r="A43" s="4" t="s">
        <v>107</v>
      </c>
      <c r="B43" s="4" t="s">
        <v>193</v>
      </c>
      <c r="C43" s="4">
        <v>52.866391041348322</v>
      </c>
    </row>
    <row r="44" spans="1:3" ht="15.75" customHeight="1">
      <c r="A44" s="4" t="s">
        <v>114</v>
      </c>
      <c r="B44" s="4" t="s">
        <v>194</v>
      </c>
      <c r="C44" s="4">
        <v>41.286602559467859</v>
      </c>
    </row>
    <row r="45" spans="1:3" ht="15.75" customHeight="1">
      <c r="A45" s="4" t="s">
        <v>129</v>
      </c>
      <c r="B45" s="4" t="s">
        <v>195</v>
      </c>
      <c r="C45" s="4">
        <v>85.822169187995812</v>
      </c>
    </row>
    <row r="46" spans="1:3" ht="15.75" customHeight="1">
      <c r="A46" s="4" t="s">
        <v>103</v>
      </c>
      <c r="B46" s="4" t="s">
        <v>196</v>
      </c>
      <c r="C46" s="4">
        <v>98.161336692200081</v>
      </c>
    </row>
    <row r="47" spans="1:3" ht="15.75" customHeight="1">
      <c r="A47" s="4" t="s">
        <v>75</v>
      </c>
      <c r="B47" s="4" t="s">
        <v>197</v>
      </c>
      <c r="C47" s="4">
        <v>48.28265511233591</v>
      </c>
    </row>
    <row r="48" spans="1:3" ht="15.75" customHeight="1">
      <c r="A48" s="4" t="s">
        <v>198</v>
      </c>
      <c r="B48" s="4" t="s">
        <v>199</v>
      </c>
      <c r="C48" s="4">
        <v>50.388770481469933</v>
      </c>
    </row>
    <row r="49" spans="1:3" ht="15.75" customHeight="1">
      <c r="A49" s="4" t="s">
        <v>200</v>
      </c>
      <c r="B49" s="4" t="s">
        <v>201</v>
      </c>
      <c r="C49" s="4">
        <v>96.994136851335696</v>
      </c>
    </row>
    <row r="50" spans="1:3" ht="15.75" customHeight="1">
      <c r="A50" s="4" t="s">
        <v>53</v>
      </c>
      <c r="B50" s="4" t="s">
        <v>202</v>
      </c>
      <c r="C50" s="4">
        <v>82.227532535314324</v>
      </c>
    </row>
    <row r="51" spans="1:3" ht="15.75" customHeight="1">
      <c r="A51" s="4" t="s">
        <v>203</v>
      </c>
      <c r="B51" s="4" t="s">
        <v>204</v>
      </c>
      <c r="C51" s="4"/>
    </row>
    <row r="52" spans="1:3" ht="15.75" customHeight="1">
      <c r="A52" s="4" t="s">
        <v>205</v>
      </c>
      <c r="B52" s="4" t="s">
        <v>206</v>
      </c>
      <c r="C52" s="4">
        <v>93.86077558905248</v>
      </c>
    </row>
    <row r="53" spans="1:3" ht="15.75" customHeight="1">
      <c r="A53" s="4" t="s">
        <v>207</v>
      </c>
      <c r="B53" s="4" t="s">
        <v>208</v>
      </c>
      <c r="C53" s="4"/>
    </row>
    <row r="54" spans="1:3" ht="15.75" customHeight="1">
      <c r="A54" s="4" t="s">
        <v>209</v>
      </c>
      <c r="B54" s="4" t="s">
        <v>210</v>
      </c>
      <c r="C54" s="4"/>
    </row>
    <row r="55" spans="1:3" ht="15.75" customHeight="1">
      <c r="A55" s="4" t="s">
        <v>31</v>
      </c>
      <c r="B55" s="4" t="s">
        <v>211</v>
      </c>
      <c r="C55" s="4">
        <v>205.7535437455235</v>
      </c>
    </row>
    <row r="56" spans="1:3" ht="15.75" customHeight="1">
      <c r="A56" s="4" t="s">
        <v>36</v>
      </c>
      <c r="B56" s="4" t="s">
        <v>212</v>
      </c>
      <c r="C56" s="4">
        <v>144.01149410939661</v>
      </c>
    </row>
    <row r="57" spans="1:3" ht="15.75" customHeight="1">
      <c r="A57" s="4" t="s">
        <v>20</v>
      </c>
      <c r="B57" s="4" t="s">
        <v>213</v>
      </c>
      <c r="C57" s="4">
        <v>88.785754213050112</v>
      </c>
    </row>
    <row r="58" spans="1:3" ht="15.75" customHeight="1">
      <c r="A58" s="4" t="s">
        <v>214</v>
      </c>
      <c r="B58" s="4" t="s">
        <v>215</v>
      </c>
      <c r="C58" s="4">
        <v>302.28540923154509</v>
      </c>
    </row>
    <row r="59" spans="1:3" ht="15.75" customHeight="1">
      <c r="A59" s="4" t="s">
        <v>216</v>
      </c>
      <c r="B59" s="4" t="s">
        <v>217</v>
      </c>
      <c r="C59" s="4"/>
    </row>
    <row r="60" spans="1:3" ht="15.75" customHeight="1">
      <c r="A60" s="4" t="s">
        <v>12</v>
      </c>
      <c r="B60" s="4" t="s">
        <v>218</v>
      </c>
      <c r="C60" s="4">
        <v>131.99582490907079</v>
      </c>
    </row>
    <row r="61" spans="1:3" ht="15.75" customHeight="1">
      <c r="A61" s="4" t="s">
        <v>60</v>
      </c>
      <c r="B61" s="4" t="s">
        <v>219</v>
      </c>
      <c r="C61" s="4">
        <v>54.378197671284369</v>
      </c>
    </row>
    <row r="62" spans="1:3" ht="15.75" customHeight="1">
      <c r="A62" s="4" t="s">
        <v>85</v>
      </c>
      <c r="B62" s="4" t="s">
        <v>220</v>
      </c>
      <c r="C62" s="4">
        <v>51.1900893683897</v>
      </c>
    </row>
    <row r="63" spans="1:3" ht="15.75" customHeight="1">
      <c r="A63" s="4" t="s">
        <v>221</v>
      </c>
      <c r="B63" s="4" t="s">
        <v>222</v>
      </c>
      <c r="C63" s="4">
        <v>46.757962404660347</v>
      </c>
    </row>
    <row r="64" spans="1:3" ht="15.75" customHeight="1">
      <c r="A64" s="4" t="s">
        <v>223</v>
      </c>
      <c r="B64" s="4" t="s">
        <v>224</v>
      </c>
      <c r="C64" s="4">
        <v>58.934144537602229</v>
      </c>
    </row>
    <row r="65" spans="1:3" ht="15.75" customHeight="1">
      <c r="A65" s="4" t="s">
        <v>225</v>
      </c>
      <c r="B65" s="4" t="s">
        <v>226</v>
      </c>
      <c r="C65" s="4">
        <v>60.109599225837208</v>
      </c>
    </row>
    <row r="66" spans="1:3" ht="15.75" customHeight="1">
      <c r="A66" s="4" t="s">
        <v>227</v>
      </c>
      <c r="B66" s="4" t="s">
        <v>228</v>
      </c>
      <c r="C66" s="4">
        <v>82.321977148092571</v>
      </c>
    </row>
    <row r="67" spans="1:3" ht="15.75" customHeight="1">
      <c r="A67" s="4" t="s">
        <v>229</v>
      </c>
      <c r="B67" s="4" t="s">
        <v>230</v>
      </c>
      <c r="C67" s="4">
        <v>93.586620488883838</v>
      </c>
    </row>
    <row r="68" spans="1:3" ht="15.75" customHeight="1">
      <c r="A68" s="4" t="s">
        <v>78</v>
      </c>
      <c r="B68" s="4" t="s">
        <v>231</v>
      </c>
      <c r="C68" s="4">
        <v>61.880792818785963</v>
      </c>
    </row>
    <row r="69" spans="1:3" ht="15.75" customHeight="1">
      <c r="A69" s="4" t="s">
        <v>232</v>
      </c>
      <c r="B69" s="4" t="s">
        <v>233</v>
      </c>
      <c r="C69" s="4">
        <v>36.98310487727128</v>
      </c>
    </row>
    <row r="70" spans="1:3" ht="15.75" customHeight="1">
      <c r="A70" s="4" t="s">
        <v>234</v>
      </c>
      <c r="B70" s="4" t="s">
        <v>235</v>
      </c>
      <c r="C70" s="4">
        <v>100.60508423916851</v>
      </c>
    </row>
    <row r="71" spans="1:3" ht="15.75" customHeight="1">
      <c r="A71" s="4" t="s">
        <v>236</v>
      </c>
      <c r="B71" s="4" t="s">
        <v>237</v>
      </c>
      <c r="C71" s="4"/>
    </row>
    <row r="72" spans="1:3" ht="15.75" customHeight="1">
      <c r="A72" s="4" t="s">
        <v>33</v>
      </c>
      <c r="B72" s="4" t="s">
        <v>238</v>
      </c>
      <c r="C72" s="4">
        <v>78.465733870305399</v>
      </c>
    </row>
    <row r="73" spans="1:3" ht="15.75" customHeight="1">
      <c r="A73" s="4" t="s">
        <v>35</v>
      </c>
      <c r="B73" s="4" t="s">
        <v>239</v>
      </c>
      <c r="C73" s="4">
        <v>175.68711950524019</v>
      </c>
    </row>
    <row r="74" spans="1:3" ht="15.75" customHeight="1">
      <c r="A74" s="4" t="s">
        <v>123</v>
      </c>
      <c r="B74" s="4" t="s">
        <v>240</v>
      </c>
      <c r="C74" s="4">
        <v>26.595499696731281</v>
      </c>
    </row>
    <row r="75" spans="1:3" ht="15.75" customHeight="1">
      <c r="A75" s="4" t="s">
        <v>241</v>
      </c>
      <c r="B75" s="4" t="s">
        <v>242</v>
      </c>
      <c r="C75" s="4">
        <v>103.70643369342569</v>
      </c>
    </row>
    <row r="76" spans="1:3" ht="15.75" customHeight="1">
      <c r="A76" s="4" t="s">
        <v>243</v>
      </c>
      <c r="B76" s="4" t="s">
        <v>244</v>
      </c>
      <c r="C76" s="4"/>
    </row>
    <row r="77" spans="1:3" ht="15.75" customHeight="1">
      <c r="A77" s="4" t="s">
        <v>21</v>
      </c>
      <c r="B77" s="4" t="s">
        <v>245</v>
      </c>
      <c r="C77" s="4">
        <v>94.562534052266713</v>
      </c>
    </row>
    <row r="78" spans="1:3" ht="15.75" customHeight="1">
      <c r="A78" s="4" t="s">
        <v>246</v>
      </c>
      <c r="B78" s="4" t="s">
        <v>247</v>
      </c>
      <c r="C78" s="4"/>
    </row>
    <row r="79" spans="1:3" ht="15.75" customHeight="1">
      <c r="A79" s="4" t="s">
        <v>24</v>
      </c>
      <c r="B79" s="4" t="s">
        <v>248</v>
      </c>
      <c r="C79" s="4">
        <v>75.963007798199627</v>
      </c>
    </row>
    <row r="80" spans="1:3" ht="15.75" customHeight="1">
      <c r="A80" s="4" t="s">
        <v>249</v>
      </c>
      <c r="B80" s="4" t="s">
        <v>250</v>
      </c>
      <c r="C80" s="4">
        <v>122.86334141193031</v>
      </c>
    </row>
    <row r="81" spans="1:3" ht="15.75" customHeight="1">
      <c r="A81" s="4" t="s">
        <v>251</v>
      </c>
      <c r="B81" s="4" t="s">
        <v>252</v>
      </c>
      <c r="C81" s="4">
        <v>90.634390245720169</v>
      </c>
    </row>
    <row r="82" spans="1:3" ht="15.75" customHeight="1">
      <c r="A82" s="4" t="s">
        <v>64</v>
      </c>
      <c r="B82" s="4" t="s">
        <v>253</v>
      </c>
      <c r="C82" s="4">
        <v>92.063088850013088</v>
      </c>
    </row>
    <row r="83" spans="1:3" ht="15.75" customHeight="1">
      <c r="A83" s="4" t="s">
        <v>23</v>
      </c>
      <c r="B83" s="4" t="s">
        <v>254</v>
      </c>
      <c r="C83" s="4">
        <v>69.1989264413981</v>
      </c>
    </row>
    <row r="84" spans="1:3" ht="15.75" customHeight="1">
      <c r="A84" s="4" t="s">
        <v>74</v>
      </c>
      <c r="B84" s="4" t="s">
        <v>255</v>
      </c>
      <c r="C84" s="4">
        <v>114.6954376887181</v>
      </c>
    </row>
    <row r="85" spans="1:3" ht="15.75" customHeight="1">
      <c r="A85" s="4" t="s">
        <v>110</v>
      </c>
      <c r="B85" s="4" t="s">
        <v>256</v>
      </c>
      <c r="C85" s="4">
        <v>70.115455795890711</v>
      </c>
    </row>
    <row r="86" spans="1:3" ht="15.75" customHeight="1">
      <c r="A86" s="4" t="s">
        <v>257</v>
      </c>
      <c r="B86" s="4" t="s">
        <v>258</v>
      </c>
      <c r="C86" s="4"/>
    </row>
    <row r="87" spans="1:3" ht="15.75" customHeight="1">
      <c r="A87" s="4" t="s">
        <v>259</v>
      </c>
      <c r="B87" s="4" t="s">
        <v>260</v>
      </c>
      <c r="C87" s="4">
        <v>94.165272693122077</v>
      </c>
    </row>
    <row r="88" spans="1:3" ht="15.75" customHeight="1">
      <c r="A88" s="4" t="s">
        <v>261</v>
      </c>
      <c r="B88" s="4" t="s">
        <v>262</v>
      </c>
      <c r="C88" s="4">
        <v>44.721921536946589</v>
      </c>
    </row>
    <row r="89" spans="1:3" ht="15.75" customHeight="1">
      <c r="A89" s="4" t="s">
        <v>263</v>
      </c>
      <c r="B89" s="4" t="s">
        <v>264</v>
      </c>
      <c r="C89" s="4">
        <v>45.75849522528577</v>
      </c>
    </row>
    <row r="90" spans="1:3" ht="15.75" customHeight="1">
      <c r="A90" s="4" t="s">
        <v>71</v>
      </c>
      <c r="B90" s="4" t="s">
        <v>265</v>
      </c>
      <c r="C90" s="4">
        <v>81.813016136809892</v>
      </c>
    </row>
    <row r="91" spans="1:3" ht="15.75" customHeight="1">
      <c r="A91" s="4" t="s">
        <v>41</v>
      </c>
      <c r="B91" s="4" t="s">
        <v>266</v>
      </c>
      <c r="C91" s="4">
        <v>108.1218432299224</v>
      </c>
    </row>
    <row r="92" spans="1:3" ht="15.75" customHeight="1">
      <c r="A92" s="4" t="s">
        <v>267</v>
      </c>
      <c r="B92" s="4" t="s">
        <v>268</v>
      </c>
      <c r="C92" s="4"/>
    </row>
    <row r="93" spans="1:3" ht="15.75" customHeight="1">
      <c r="A93" s="4" t="s">
        <v>269</v>
      </c>
      <c r="B93" s="4" t="s">
        <v>270</v>
      </c>
      <c r="C93" s="4">
        <v>93.36513287666321</v>
      </c>
    </row>
    <row r="94" spans="1:3" ht="15.75" customHeight="1">
      <c r="A94" s="4" t="s">
        <v>82</v>
      </c>
      <c r="B94" s="4" t="s">
        <v>271</v>
      </c>
      <c r="C94" s="4">
        <v>54.431038482005803</v>
      </c>
    </row>
    <row r="95" spans="1:3" ht="15.75" customHeight="1">
      <c r="A95" s="4" t="s">
        <v>272</v>
      </c>
      <c r="B95" s="4" t="s">
        <v>273</v>
      </c>
      <c r="C95" s="4">
        <v>71.866859623733717</v>
      </c>
    </row>
    <row r="96" spans="1:3" ht="15.75" customHeight="1">
      <c r="A96" s="4" t="s">
        <v>274</v>
      </c>
      <c r="B96" s="4" t="s">
        <v>275</v>
      </c>
      <c r="C96" s="4"/>
    </row>
    <row r="97" spans="1:3" ht="15.75" customHeight="1">
      <c r="A97" s="4" t="s">
        <v>276</v>
      </c>
      <c r="B97" s="4" t="s">
        <v>277</v>
      </c>
      <c r="C97" s="4">
        <v>67.389175885108486</v>
      </c>
    </row>
    <row r="98" spans="1:3" ht="15.75" customHeight="1">
      <c r="A98" s="4" t="s">
        <v>278</v>
      </c>
      <c r="B98" s="4" t="s">
        <v>279</v>
      </c>
      <c r="C98" s="4">
        <v>384.88114322372371</v>
      </c>
    </row>
    <row r="99" spans="1:3" ht="15.75" customHeight="1">
      <c r="A99" s="4" t="s">
        <v>101</v>
      </c>
      <c r="B99" s="4" t="s">
        <v>280</v>
      </c>
      <c r="C99" s="4">
        <v>112.6985249139662</v>
      </c>
    </row>
    <row r="100" spans="1:3" ht="15.75" customHeight="1">
      <c r="A100" s="4" t="s">
        <v>281</v>
      </c>
      <c r="B100" s="4" t="s">
        <v>282</v>
      </c>
      <c r="C100" s="4">
        <v>55.973610557803461</v>
      </c>
    </row>
    <row r="101" spans="1:3" ht="15.75" customHeight="1">
      <c r="A101" s="4" t="s">
        <v>45</v>
      </c>
      <c r="B101" s="4" t="s">
        <v>283</v>
      </c>
      <c r="C101" s="4">
        <v>125.41087797469351</v>
      </c>
    </row>
    <row r="102" spans="1:3" ht="15.75" customHeight="1">
      <c r="A102" s="4" t="s">
        <v>112</v>
      </c>
      <c r="B102" s="4" t="s">
        <v>284</v>
      </c>
      <c r="C102" s="4">
        <v>36.529550283828009</v>
      </c>
    </row>
    <row r="103" spans="1:3" ht="15.75" customHeight="1">
      <c r="A103" s="4" t="s">
        <v>46</v>
      </c>
      <c r="B103" s="4" t="s">
        <v>285</v>
      </c>
      <c r="C103" s="4">
        <v>185.00020409269851</v>
      </c>
    </row>
    <row r="104" spans="1:3" ht="15.75" customHeight="1">
      <c r="A104" s="4" t="s">
        <v>286</v>
      </c>
      <c r="B104" s="4" t="s">
        <v>287</v>
      </c>
      <c r="C104" s="4">
        <v>53.744553132191207</v>
      </c>
    </row>
    <row r="105" spans="1:3" ht="15.75" customHeight="1">
      <c r="A105" s="4" t="s">
        <v>288</v>
      </c>
      <c r="B105" s="4" t="s">
        <v>289</v>
      </c>
      <c r="C105" s="4">
        <v>53.620775228731333</v>
      </c>
    </row>
    <row r="106" spans="1:3" ht="15.75" customHeight="1">
      <c r="A106" s="4" t="s">
        <v>290</v>
      </c>
      <c r="B106" s="4" t="s">
        <v>291</v>
      </c>
      <c r="C106" s="4">
        <v>51.332679691502101</v>
      </c>
    </row>
    <row r="107" spans="1:3" ht="15.75" customHeight="1">
      <c r="A107" s="4" t="s">
        <v>292</v>
      </c>
      <c r="B107" s="4" t="s">
        <v>293</v>
      </c>
      <c r="C107" s="4"/>
    </row>
    <row r="108" spans="1:3" ht="15.75" customHeight="1">
      <c r="A108" s="4" t="s">
        <v>86</v>
      </c>
      <c r="B108" s="4" t="s">
        <v>294</v>
      </c>
      <c r="C108" s="4">
        <v>45.464670195945317</v>
      </c>
    </row>
    <row r="109" spans="1:3" ht="15.75" customHeight="1">
      <c r="A109" s="4" t="s">
        <v>295</v>
      </c>
      <c r="B109" s="4" t="s">
        <v>296</v>
      </c>
      <c r="C109" s="4">
        <v>55.00140022683366</v>
      </c>
    </row>
    <row r="110" spans="1:3" ht="15.75" customHeight="1">
      <c r="A110" s="4" t="s">
        <v>297</v>
      </c>
      <c r="B110" s="4" t="s">
        <v>298</v>
      </c>
      <c r="C110" s="4"/>
    </row>
    <row r="111" spans="1:3" ht="15.75" customHeight="1">
      <c r="A111" s="4" t="s">
        <v>106</v>
      </c>
      <c r="B111" s="4" t="s">
        <v>299</v>
      </c>
      <c r="C111" s="4">
        <v>50.075270149888198</v>
      </c>
    </row>
    <row r="112" spans="1:3" ht="15.75" customHeight="1">
      <c r="A112" s="4" t="s">
        <v>300</v>
      </c>
      <c r="B112" s="4" t="s">
        <v>301</v>
      </c>
      <c r="C112" s="4"/>
    </row>
    <row r="113" spans="1:3" ht="15.75" customHeight="1">
      <c r="A113" s="4" t="s">
        <v>8</v>
      </c>
      <c r="B113" s="4" t="s">
        <v>302</v>
      </c>
      <c r="C113" s="4">
        <v>237.75541955937791</v>
      </c>
    </row>
    <row r="114" spans="1:3" ht="15.75" customHeight="1">
      <c r="A114" s="4" t="s">
        <v>87</v>
      </c>
      <c r="B114" s="4" t="s">
        <v>303</v>
      </c>
      <c r="C114" s="4">
        <v>48.9183508223052</v>
      </c>
    </row>
    <row r="115" spans="1:3" ht="15.75" customHeight="1">
      <c r="A115" s="4" t="s">
        <v>77</v>
      </c>
      <c r="B115" s="4" t="s">
        <v>304</v>
      </c>
      <c r="C115" s="4">
        <v>68.758794094090007</v>
      </c>
    </row>
    <row r="116" spans="1:3" ht="15.75" customHeight="1">
      <c r="A116" s="4" t="s">
        <v>305</v>
      </c>
      <c r="B116" s="4" t="s">
        <v>306</v>
      </c>
      <c r="C116" s="4">
        <v>93.048719961501277</v>
      </c>
    </row>
    <row r="117" spans="1:3" ht="15.75" customHeight="1">
      <c r="A117" s="4" t="s">
        <v>16</v>
      </c>
      <c r="B117" s="4" t="s">
        <v>307</v>
      </c>
      <c r="C117" s="4">
        <v>60.644852674295237</v>
      </c>
    </row>
    <row r="118" spans="1:3" ht="15.75" customHeight="1">
      <c r="A118" s="4" t="s">
        <v>28</v>
      </c>
      <c r="B118" s="4" t="s">
        <v>308</v>
      </c>
      <c r="C118" s="4">
        <v>72.016502303269661</v>
      </c>
    </row>
    <row r="119" spans="1:3" ht="15.75" customHeight="1">
      <c r="A119" s="4" t="s">
        <v>309</v>
      </c>
      <c r="B119" s="4" t="s">
        <v>310</v>
      </c>
      <c r="C119" s="4"/>
    </row>
    <row r="120" spans="1:3" ht="15.75" customHeight="1">
      <c r="A120" s="4" t="s">
        <v>89</v>
      </c>
      <c r="B120" s="4" t="s">
        <v>311</v>
      </c>
      <c r="C120" s="4">
        <v>104.0954594391887</v>
      </c>
    </row>
    <row r="121" spans="1:3" ht="15.75" customHeight="1">
      <c r="A121" s="4" t="s">
        <v>30</v>
      </c>
      <c r="B121" s="4" t="s">
        <v>312</v>
      </c>
      <c r="C121" s="4">
        <v>46.812986836893813</v>
      </c>
    </row>
    <row r="122" spans="1:3" ht="15.75" customHeight="1">
      <c r="A122" s="4" t="s">
        <v>57</v>
      </c>
      <c r="B122" s="4" t="s">
        <v>313</v>
      </c>
      <c r="C122" s="4">
        <v>68.334314741561229</v>
      </c>
    </row>
    <row r="123" spans="1:3" ht="15.75" customHeight="1">
      <c r="A123" s="4" t="s">
        <v>111</v>
      </c>
      <c r="B123" s="4" t="s">
        <v>314</v>
      </c>
      <c r="C123" s="4">
        <v>40.275323837356098</v>
      </c>
    </row>
    <row r="124" spans="1:3" ht="15.75" customHeight="1">
      <c r="A124" s="4" t="s">
        <v>113</v>
      </c>
      <c r="B124" s="4" t="s">
        <v>315</v>
      </c>
      <c r="C124" s="4">
        <v>133.78671804876561</v>
      </c>
    </row>
    <row r="125" spans="1:3" ht="15.75" customHeight="1">
      <c r="A125" s="4" t="s">
        <v>108</v>
      </c>
      <c r="B125" s="4" t="s">
        <v>316</v>
      </c>
      <c r="C125" s="4">
        <v>145.8736327614059</v>
      </c>
    </row>
    <row r="126" spans="1:3" ht="15.75" customHeight="1">
      <c r="A126" s="4" t="s">
        <v>317</v>
      </c>
      <c r="B126" s="4" t="s">
        <v>318</v>
      </c>
      <c r="C126" s="4">
        <v>107.6858780159093</v>
      </c>
    </row>
    <row r="127" spans="1:3" ht="15.75" customHeight="1">
      <c r="A127" s="4" t="s">
        <v>319</v>
      </c>
      <c r="B127" s="4" t="s">
        <v>320</v>
      </c>
      <c r="C127" s="4"/>
    </row>
    <row r="128" spans="1:3" ht="15.75" customHeight="1">
      <c r="A128" s="4" t="s">
        <v>29</v>
      </c>
      <c r="B128" s="4" t="s">
        <v>321</v>
      </c>
      <c r="C128" s="4">
        <v>90.585147527854929</v>
      </c>
    </row>
    <row r="129" spans="1:3" ht="15.75" customHeight="1">
      <c r="A129" s="4" t="s">
        <v>25</v>
      </c>
      <c r="B129" s="4" t="s">
        <v>322</v>
      </c>
      <c r="C129" s="4">
        <v>90.920411697019603</v>
      </c>
    </row>
    <row r="130" spans="1:3" ht="15.75" customHeight="1">
      <c r="A130" s="4" t="s">
        <v>323</v>
      </c>
      <c r="B130" s="4" t="s">
        <v>324</v>
      </c>
      <c r="C130" s="4">
        <v>55.088454453884992</v>
      </c>
    </row>
    <row r="131" spans="1:3" ht="15.75" customHeight="1">
      <c r="A131" s="4" t="s">
        <v>325</v>
      </c>
      <c r="B131" s="4" t="s">
        <v>326</v>
      </c>
      <c r="C131" s="4"/>
    </row>
    <row r="132" spans="1:3" ht="15.75" customHeight="1">
      <c r="A132" s="4" t="s">
        <v>96</v>
      </c>
      <c r="B132" s="4" t="s">
        <v>327</v>
      </c>
      <c r="C132" s="4">
        <v>114.8882782656665</v>
      </c>
    </row>
    <row r="133" spans="1:3" ht="15.75" customHeight="1">
      <c r="A133" s="4" t="s">
        <v>328</v>
      </c>
      <c r="B133" s="4" t="s">
        <v>329</v>
      </c>
      <c r="C133" s="4"/>
    </row>
    <row r="134" spans="1:3" ht="15.75" customHeight="1">
      <c r="A134" s="4" t="s">
        <v>80</v>
      </c>
      <c r="B134" s="4" t="s">
        <v>330</v>
      </c>
      <c r="C134" s="4">
        <v>156.3216846823475</v>
      </c>
    </row>
    <row r="135" spans="1:3" ht="15.75" customHeight="1">
      <c r="A135" s="4" t="s">
        <v>331</v>
      </c>
      <c r="B135" s="4" t="s">
        <v>332</v>
      </c>
      <c r="C135" s="4"/>
    </row>
    <row r="136" spans="1:3" ht="15.75" customHeight="1">
      <c r="A136" s="4" t="s">
        <v>333</v>
      </c>
      <c r="B136" s="4" t="s">
        <v>334</v>
      </c>
      <c r="C136" s="4">
        <v>56.055503307996638</v>
      </c>
    </row>
    <row r="137" spans="1:3" ht="15.75" customHeight="1">
      <c r="A137" s="4" t="s">
        <v>335</v>
      </c>
      <c r="B137" s="4" t="s">
        <v>336</v>
      </c>
      <c r="C137" s="4">
        <v>51.177665295119773</v>
      </c>
    </row>
    <row r="138" spans="1:3" ht="15.75" customHeight="1">
      <c r="A138" s="4" t="s">
        <v>337</v>
      </c>
      <c r="B138" s="4" t="s">
        <v>338</v>
      </c>
      <c r="C138" s="4">
        <v>54.754615752520273</v>
      </c>
    </row>
    <row r="139" spans="1:3" ht="15.75" customHeight="1">
      <c r="A139" s="4" t="s">
        <v>339</v>
      </c>
      <c r="B139" s="4" t="s">
        <v>340</v>
      </c>
      <c r="C139" s="4"/>
    </row>
    <row r="140" spans="1:3" ht="15.75" customHeight="1">
      <c r="A140" s="4" t="s">
        <v>99</v>
      </c>
      <c r="B140" s="4" t="s">
        <v>341</v>
      </c>
      <c r="C140" s="4">
        <v>46.682608019681929</v>
      </c>
    </row>
    <row r="141" spans="1:3" ht="15.75" customHeight="1">
      <c r="A141" s="4" t="s">
        <v>342</v>
      </c>
      <c r="B141" s="4" t="s">
        <v>343</v>
      </c>
      <c r="C141" s="4">
        <v>60.064233797269239</v>
      </c>
    </row>
    <row r="142" spans="1:3" ht="15.75" customHeight="1">
      <c r="A142" s="4" t="s">
        <v>344</v>
      </c>
      <c r="B142" s="4" t="s">
        <v>345</v>
      </c>
      <c r="C142" s="4">
        <v>52.420124131734937</v>
      </c>
    </row>
    <row r="143" spans="1:3" ht="15.75" customHeight="1">
      <c r="A143" s="4" t="s">
        <v>346</v>
      </c>
      <c r="B143" s="4" t="s">
        <v>347</v>
      </c>
      <c r="C143" s="4">
        <v>142.37398107422879</v>
      </c>
    </row>
    <row r="144" spans="1:3" ht="15.75" customHeight="1">
      <c r="A144" s="4" t="s">
        <v>348</v>
      </c>
      <c r="B144" s="4" t="s">
        <v>349</v>
      </c>
      <c r="C144" s="4">
        <v>57.702389047791627</v>
      </c>
    </row>
    <row r="145" spans="1:3" ht="15.75" customHeight="1">
      <c r="A145" s="4" t="s">
        <v>37</v>
      </c>
      <c r="B145" s="4" t="s">
        <v>350</v>
      </c>
      <c r="C145" s="4">
        <v>175.65161215109271</v>
      </c>
    </row>
    <row r="146" spans="1:3" ht="15.75" customHeight="1">
      <c r="A146" s="4" t="s">
        <v>351</v>
      </c>
      <c r="B146" s="4" t="s">
        <v>352</v>
      </c>
      <c r="C146" s="4">
        <v>412.1771699241749</v>
      </c>
    </row>
    <row r="147" spans="1:3" ht="15.75" customHeight="1">
      <c r="A147" s="4" t="s">
        <v>43</v>
      </c>
      <c r="B147" s="4" t="s">
        <v>353</v>
      </c>
      <c r="C147" s="4">
        <v>159.8927781906489</v>
      </c>
    </row>
    <row r="148" spans="1:3" ht="15.75" customHeight="1">
      <c r="A148" s="4" t="s">
        <v>354</v>
      </c>
      <c r="B148" s="4" t="s">
        <v>355</v>
      </c>
      <c r="C148" s="4">
        <v>170.3680493385059</v>
      </c>
    </row>
    <row r="149" spans="1:3" ht="15.75" customHeight="1">
      <c r="A149" s="4" t="s">
        <v>356</v>
      </c>
      <c r="B149" s="4" t="s">
        <v>357</v>
      </c>
      <c r="C149" s="4"/>
    </row>
    <row r="150" spans="1:3" ht="15.75" customHeight="1">
      <c r="A150" s="4" t="s">
        <v>98</v>
      </c>
      <c r="B150" s="4" t="s">
        <v>358</v>
      </c>
      <c r="C150" s="4">
        <v>100.90631020165139</v>
      </c>
    </row>
    <row r="151" spans="1:3" ht="15.75" customHeight="1">
      <c r="A151" s="4" t="s">
        <v>359</v>
      </c>
      <c r="B151" s="4" t="s">
        <v>360</v>
      </c>
      <c r="C151" s="4"/>
    </row>
    <row r="152" spans="1:3" ht="15.75" customHeight="1">
      <c r="A152" s="4" t="s">
        <v>81</v>
      </c>
      <c r="B152" s="4" t="s">
        <v>361</v>
      </c>
      <c r="C152" s="4">
        <v>112.1176715797656</v>
      </c>
    </row>
    <row r="153" spans="1:3" ht="15.75" customHeight="1">
      <c r="A153" s="4" t="s">
        <v>27</v>
      </c>
      <c r="B153" s="4" t="s">
        <v>362</v>
      </c>
      <c r="C153" s="4">
        <v>70.547134413096117</v>
      </c>
    </row>
    <row r="154" spans="1:3" ht="15.75" customHeight="1">
      <c r="A154" s="4" t="s">
        <v>363</v>
      </c>
      <c r="B154" s="4" t="s">
        <v>364</v>
      </c>
      <c r="C154" s="4">
        <v>162.2434329336557</v>
      </c>
    </row>
    <row r="155" spans="1:3" ht="15.75" customHeight="1">
      <c r="A155" s="4" t="s">
        <v>365</v>
      </c>
      <c r="B155" s="4" t="s">
        <v>366</v>
      </c>
      <c r="C155" s="4">
        <v>78.305501903040849</v>
      </c>
    </row>
    <row r="156" spans="1:3" ht="15.75" customHeight="1">
      <c r="A156" s="4" t="s">
        <v>56</v>
      </c>
      <c r="B156" s="4" t="s">
        <v>367</v>
      </c>
      <c r="C156" s="4">
        <v>88.798485586718556</v>
      </c>
    </row>
    <row r="157" spans="1:3" ht="15.75" customHeight="1">
      <c r="A157" s="4" t="s">
        <v>368</v>
      </c>
      <c r="B157" s="4" t="s">
        <v>369</v>
      </c>
      <c r="C157" s="4">
        <v>128.33797552729129</v>
      </c>
    </row>
    <row r="158" spans="1:3" ht="15.75" customHeight="1">
      <c r="A158" s="4" t="s">
        <v>370</v>
      </c>
      <c r="B158" s="4" t="s">
        <v>371</v>
      </c>
      <c r="C158" s="4">
        <v>52.392123811796807</v>
      </c>
    </row>
    <row r="159" spans="1:3" ht="15.75" customHeight="1">
      <c r="A159" s="4" t="s">
        <v>70</v>
      </c>
      <c r="B159" s="4" t="s">
        <v>372</v>
      </c>
      <c r="C159" s="4">
        <v>166.14735737987749</v>
      </c>
    </row>
    <row r="160" spans="1:3" ht="15.75" customHeight="1">
      <c r="A160" s="4" t="s">
        <v>373</v>
      </c>
      <c r="B160" s="4" t="s">
        <v>374</v>
      </c>
      <c r="C160" s="4">
        <v>61.561327486198692</v>
      </c>
    </row>
    <row r="161" spans="1:3" ht="15.75" customHeight="1">
      <c r="A161" s="4" t="s">
        <v>375</v>
      </c>
      <c r="B161" s="4" t="s">
        <v>376</v>
      </c>
      <c r="C161" s="4">
        <v>245.1603750920045</v>
      </c>
    </row>
    <row r="162" spans="1:3" ht="15.75" customHeight="1">
      <c r="A162" s="4" t="s">
        <v>377</v>
      </c>
      <c r="B162" s="4" t="s">
        <v>378</v>
      </c>
      <c r="C162" s="4"/>
    </row>
    <row r="163" spans="1:3" ht="15.75" customHeight="1">
      <c r="A163" s="4" t="s">
        <v>379</v>
      </c>
      <c r="B163" s="4" t="s">
        <v>380</v>
      </c>
      <c r="C163" s="4">
        <v>58.628572458423193</v>
      </c>
    </row>
    <row r="164" spans="1:3" ht="15.75" customHeight="1">
      <c r="A164" s="4" t="s">
        <v>62</v>
      </c>
      <c r="B164" s="4" t="s">
        <v>381</v>
      </c>
      <c r="C164" s="4">
        <v>125.455937754994</v>
      </c>
    </row>
    <row r="165" spans="1:3" ht="15.75" customHeight="1">
      <c r="A165" s="4" t="s">
        <v>84</v>
      </c>
      <c r="B165" s="4" t="s">
        <v>382</v>
      </c>
      <c r="C165" s="4">
        <v>136.32792994451631</v>
      </c>
    </row>
    <row r="166" spans="1:3" ht="15.75" customHeight="1">
      <c r="A166" s="4" t="s">
        <v>383</v>
      </c>
      <c r="B166" s="4" t="s">
        <v>384</v>
      </c>
      <c r="C166" s="4">
        <v>93.15693430656934</v>
      </c>
    </row>
    <row r="167" spans="1:3" ht="15.75" customHeight="1">
      <c r="A167" s="4" t="s">
        <v>131</v>
      </c>
      <c r="B167" s="4" t="s">
        <v>385</v>
      </c>
      <c r="C167" s="4">
        <v>135.2795784169914</v>
      </c>
    </row>
    <row r="168" spans="1:3" ht="15.75" customHeight="1">
      <c r="A168" s="4" t="s">
        <v>386</v>
      </c>
      <c r="B168" s="4" t="s">
        <v>387</v>
      </c>
      <c r="C168" s="4">
        <v>102.0258991256956</v>
      </c>
    </row>
    <row r="169" spans="1:3" ht="15.75" customHeight="1">
      <c r="A169" s="4" t="s">
        <v>59</v>
      </c>
      <c r="B169" s="4" t="s">
        <v>388</v>
      </c>
      <c r="C169" s="4">
        <v>147.66379503401171</v>
      </c>
    </row>
    <row r="170" spans="1:3" ht="15.75" customHeight="1">
      <c r="A170" s="4" t="s">
        <v>389</v>
      </c>
      <c r="B170" s="4" t="s">
        <v>390</v>
      </c>
      <c r="C170" s="4">
        <v>43.61662485678103</v>
      </c>
    </row>
    <row r="171" spans="1:3" ht="15.75" customHeight="1">
      <c r="A171" s="4" t="s">
        <v>55</v>
      </c>
      <c r="B171" s="4" t="s">
        <v>391</v>
      </c>
      <c r="C171" s="4">
        <v>146.42460475390749</v>
      </c>
    </row>
    <row r="172" spans="1:3" ht="15.75" customHeight="1">
      <c r="A172" s="4" t="s">
        <v>392</v>
      </c>
      <c r="B172" s="4" t="s">
        <v>393</v>
      </c>
      <c r="C172" s="4">
        <v>30.74409031751447</v>
      </c>
    </row>
    <row r="173" spans="1:3" ht="15.75" customHeight="1">
      <c r="A173" s="4" t="s">
        <v>88</v>
      </c>
      <c r="B173" s="4" t="s">
        <v>394</v>
      </c>
      <c r="C173" s="4">
        <v>99.262554781406394</v>
      </c>
    </row>
    <row r="174" spans="1:3" ht="15.75" customHeight="1">
      <c r="A174" s="4" t="s">
        <v>395</v>
      </c>
      <c r="B174" s="4" t="s">
        <v>396</v>
      </c>
      <c r="C174" s="4">
        <v>50.472748743963912</v>
      </c>
    </row>
    <row r="175" spans="1:3" ht="15.75" customHeight="1">
      <c r="A175" s="4" t="s">
        <v>130</v>
      </c>
      <c r="B175" s="4" t="s">
        <v>397</v>
      </c>
      <c r="C175" s="4">
        <v>52.806148432733202</v>
      </c>
    </row>
    <row r="176" spans="1:3" ht="15.75" customHeight="1">
      <c r="A176" s="4" t="s">
        <v>398</v>
      </c>
      <c r="B176" s="4" t="s">
        <v>399</v>
      </c>
      <c r="C176" s="4"/>
    </row>
    <row r="177" spans="1:3" ht="15.75" customHeight="1">
      <c r="A177" s="4" t="s">
        <v>109</v>
      </c>
      <c r="B177" s="4" t="s">
        <v>400</v>
      </c>
      <c r="C177" s="4">
        <v>115.4546787128649</v>
      </c>
    </row>
    <row r="178" spans="1:3" ht="15.75" customHeight="1">
      <c r="A178" s="4" t="s">
        <v>14</v>
      </c>
      <c r="B178" s="4" t="s">
        <v>401</v>
      </c>
      <c r="C178" s="4">
        <v>184.10748425268159</v>
      </c>
    </row>
    <row r="179" spans="1:3" ht="15.75" customHeight="1">
      <c r="A179" s="4" t="s">
        <v>7</v>
      </c>
      <c r="B179" s="4" t="s">
        <v>402</v>
      </c>
      <c r="C179" s="4">
        <v>82.609479836138917</v>
      </c>
    </row>
    <row r="180" spans="1:3" ht="15.75" customHeight="1">
      <c r="A180" s="4" t="s">
        <v>118</v>
      </c>
      <c r="B180" s="4" t="s">
        <v>403</v>
      </c>
      <c r="C180" s="4">
        <v>48.973401479942773</v>
      </c>
    </row>
    <row r="181" spans="1:3" ht="15.75" customHeight="1">
      <c r="A181" s="4" t="s">
        <v>404</v>
      </c>
      <c r="B181" s="4" t="s">
        <v>405</v>
      </c>
      <c r="C181" s="4">
        <v>167.3387619047619</v>
      </c>
    </row>
    <row r="182" spans="1:3" ht="15.75" customHeight="1">
      <c r="A182" s="4" t="s">
        <v>22</v>
      </c>
      <c r="B182" s="4" t="s">
        <v>406</v>
      </c>
      <c r="C182" s="4">
        <v>53.476162765581677</v>
      </c>
    </row>
    <row r="183" spans="1:3" ht="15.75" customHeight="1">
      <c r="A183" s="4" t="s">
        <v>407</v>
      </c>
      <c r="B183" s="4" t="s">
        <v>408</v>
      </c>
      <c r="C183" s="4">
        <v>63.140442168600288</v>
      </c>
    </row>
    <row r="184" spans="1:3" ht="15.75" customHeight="1">
      <c r="A184" s="4" t="s">
        <v>39</v>
      </c>
      <c r="B184" s="4" t="s">
        <v>409</v>
      </c>
      <c r="C184" s="4">
        <v>105.7450092806546</v>
      </c>
    </row>
    <row r="185" spans="1:3" ht="15.75" customHeight="1">
      <c r="A185" s="4" t="s">
        <v>410</v>
      </c>
      <c r="B185" s="4" t="s">
        <v>411</v>
      </c>
      <c r="C185" s="4">
        <v>164.57390580267901</v>
      </c>
    </row>
    <row r="186" spans="1:3" ht="15.75" customHeight="1">
      <c r="A186" s="4" t="s">
        <v>116</v>
      </c>
      <c r="B186" s="4" t="s">
        <v>412</v>
      </c>
      <c r="C186" s="4">
        <v>33.031353478032031</v>
      </c>
    </row>
    <row r="187" spans="1:3" ht="15.75" customHeight="1">
      <c r="A187" s="4" t="s">
        <v>47</v>
      </c>
      <c r="B187" s="4" t="s">
        <v>413</v>
      </c>
      <c r="C187" s="4">
        <v>93.475268816844249</v>
      </c>
    </row>
    <row r="188" spans="1:3" ht="15.75" customHeight="1">
      <c r="A188" s="4" t="s">
        <v>72</v>
      </c>
      <c r="B188" s="4" t="s">
        <v>414</v>
      </c>
      <c r="C188" s="4">
        <v>57.296975964972141</v>
      </c>
    </row>
    <row r="189" spans="1:3" ht="15.75" customHeight="1">
      <c r="A189" s="4" t="s">
        <v>97</v>
      </c>
      <c r="B189" s="4" t="s">
        <v>415</v>
      </c>
      <c r="C189" s="4">
        <v>72.429683610759909</v>
      </c>
    </row>
    <row r="190" spans="1:3" ht="15.75" customHeight="1">
      <c r="A190" s="4" t="s">
        <v>416</v>
      </c>
      <c r="B190" s="4" t="s">
        <v>417</v>
      </c>
      <c r="C190" s="4">
        <v>105.2009351520208</v>
      </c>
    </row>
    <row r="191" spans="1:3" ht="15.75" customHeight="1">
      <c r="A191" s="4" t="s">
        <v>418</v>
      </c>
      <c r="B191" s="4" t="s">
        <v>419</v>
      </c>
      <c r="C191" s="4"/>
    </row>
    <row r="192" spans="1:3" ht="15.75" customHeight="1">
      <c r="A192" s="4" t="s">
        <v>44</v>
      </c>
      <c r="B192" s="4" t="s">
        <v>420</v>
      </c>
      <c r="C192" s="4">
        <v>123.0213328603447</v>
      </c>
    </row>
    <row r="193" spans="1:3" ht="15.75" customHeight="1">
      <c r="A193" s="4" t="s">
        <v>421</v>
      </c>
      <c r="B193" s="4" t="s">
        <v>422</v>
      </c>
      <c r="C193" s="4"/>
    </row>
    <row r="194" spans="1:3" ht="15.75" customHeight="1">
      <c r="A194" s="4" t="s">
        <v>423</v>
      </c>
      <c r="B194" s="4" t="s">
        <v>424</v>
      </c>
      <c r="C194" s="4">
        <v>98.256469176599154</v>
      </c>
    </row>
    <row r="195" spans="1:3" ht="15.75" customHeight="1">
      <c r="A195" s="4" t="s">
        <v>425</v>
      </c>
      <c r="B195" s="4" t="s">
        <v>426</v>
      </c>
      <c r="C195" s="4"/>
    </row>
    <row r="196" spans="1:3" ht="15.75" customHeight="1">
      <c r="A196" s="4" t="s">
        <v>38</v>
      </c>
      <c r="B196" s="4" t="s">
        <v>427</v>
      </c>
      <c r="C196" s="4">
        <v>101.3641464794345</v>
      </c>
    </row>
    <row r="197" spans="1:3" ht="15.75" customHeight="1">
      <c r="A197" s="4" t="s">
        <v>79</v>
      </c>
      <c r="B197" s="4" t="s">
        <v>428</v>
      </c>
      <c r="C197" s="4">
        <v>73.737905021856605</v>
      </c>
    </row>
    <row r="198" spans="1:3" ht="15.75" customHeight="1">
      <c r="A198" s="4" t="s">
        <v>429</v>
      </c>
      <c r="B198" s="4" t="s">
        <v>430</v>
      </c>
      <c r="C198" s="4">
        <v>82.394928386945281</v>
      </c>
    </row>
    <row r="199" spans="1:3" ht="15.75" customHeight="1">
      <c r="A199" s="4" t="s">
        <v>431</v>
      </c>
      <c r="B199" s="4" t="s">
        <v>432</v>
      </c>
      <c r="C199" s="4"/>
    </row>
    <row r="200" spans="1:3" ht="15.75" customHeight="1">
      <c r="A200" s="4" t="s">
        <v>433</v>
      </c>
      <c r="B200" s="4" t="s">
        <v>434</v>
      </c>
      <c r="C200" s="4">
        <v>64.470079912737276</v>
      </c>
    </row>
    <row r="201" spans="1:3" ht="15.75" customHeight="1">
      <c r="A201" s="4" t="s">
        <v>435</v>
      </c>
      <c r="B201" s="4" t="s">
        <v>436</v>
      </c>
      <c r="C201" s="4">
        <v>69.526402322144222</v>
      </c>
    </row>
    <row r="202" spans="1:3" ht="15.75" customHeight="1">
      <c r="A202" s="4" t="s">
        <v>10</v>
      </c>
      <c r="B202" s="4" t="s">
        <v>437</v>
      </c>
      <c r="C202" s="4">
        <v>100.2136408456121</v>
      </c>
    </row>
    <row r="203" spans="1:3" ht="15.75" customHeight="1">
      <c r="A203" s="4" t="s">
        <v>49</v>
      </c>
      <c r="B203" s="4" t="s">
        <v>438</v>
      </c>
      <c r="C203" s="4">
        <v>93.949650938344703</v>
      </c>
    </row>
    <row r="204" spans="1:3" ht="15.75" customHeight="1">
      <c r="A204" s="4" t="s">
        <v>48</v>
      </c>
      <c r="B204" s="4" t="s">
        <v>439</v>
      </c>
      <c r="C204" s="4">
        <v>42.782786429481114</v>
      </c>
    </row>
    <row r="205" spans="1:3" ht="15.75" customHeight="1">
      <c r="A205" s="4" t="s">
        <v>124</v>
      </c>
      <c r="B205" s="4" t="s">
        <v>440</v>
      </c>
      <c r="C205" s="4">
        <v>61.145079503365132</v>
      </c>
    </row>
    <row r="206" spans="1:3" ht="15.75" customHeight="1">
      <c r="A206" s="4" t="s">
        <v>441</v>
      </c>
      <c r="B206" s="4" t="s">
        <v>442</v>
      </c>
      <c r="C206" s="4">
        <v>48.842150266814848</v>
      </c>
    </row>
    <row r="207" spans="1:3" ht="15.75" customHeight="1">
      <c r="A207" s="4" t="s">
        <v>443</v>
      </c>
      <c r="B207" s="4" t="s">
        <v>444</v>
      </c>
      <c r="C207" s="4">
        <v>56.824164774933223</v>
      </c>
    </row>
    <row r="208" spans="1:3" ht="15.75" customHeight="1">
      <c r="A208" s="4" t="s">
        <v>122</v>
      </c>
      <c r="B208" s="4" t="s">
        <v>445</v>
      </c>
      <c r="C208" s="4">
        <v>2.6988344358585579</v>
      </c>
    </row>
    <row r="209" spans="1:3" ht="15.75" customHeight="1">
      <c r="A209" s="4" t="s">
        <v>115</v>
      </c>
      <c r="B209" s="4" t="s">
        <v>446</v>
      </c>
      <c r="C209" s="4">
        <v>79.599821651583198</v>
      </c>
    </row>
    <row r="210" spans="1:3" ht="15.75" customHeight="1">
      <c r="A210" s="4" t="s">
        <v>447</v>
      </c>
      <c r="B210" s="4" t="s">
        <v>448</v>
      </c>
      <c r="C210" s="4">
        <v>332.34956775484028</v>
      </c>
    </row>
    <row r="211" spans="1:3" ht="15.75" customHeight="1">
      <c r="A211" s="4" t="s">
        <v>449</v>
      </c>
      <c r="B211" s="4" t="s">
        <v>450</v>
      </c>
      <c r="C211" s="4">
        <v>74.835540532985831</v>
      </c>
    </row>
    <row r="212" spans="1:3" ht="15.75" customHeight="1">
      <c r="A212" s="4" t="s">
        <v>451</v>
      </c>
      <c r="B212" s="4" t="s">
        <v>452</v>
      </c>
      <c r="C212" s="4">
        <v>45.054212739031897</v>
      </c>
    </row>
    <row r="213" spans="1:3" ht="15.75" customHeight="1">
      <c r="A213" s="4" t="s">
        <v>83</v>
      </c>
      <c r="B213" s="4" t="s">
        <v>453</v>
      </c>
      <c r="C213" s="4">
        <v>88.701109377686677</v>
      </c>
    </row>
    <row r="214" spans="1:3" ht="15.75" customHeight="1">
      <c r="A214" s="4" t="s">
        <v>454</v>
      </c>
      <c r="B214" s="4" t="s">
        <v>455</v>
      </c>
      <c r="C214" s="4">
        <v>370.43607181341372</v>
      </c>
    </row>
    <row r="215" spans="1:3" ht="15.75" customHeight="1">
      <c r="A215" s="4" t="s">
        <v>456</v>
      </c>
      <c r="B215" s="4" t="s">
        <v>457</v>
      </c>
      <c r="C215" s="4">
        <v>90.757620307752617</v>
      </c>
    </row>
    <row r="216" spans="1:3" ht="15.75" customHeight="1">
      <c r="A216" s="4" t="s">
        <v>61</v>
      </c>
      <c r="B216" s="4" t="s">
        <v>458</v>
      </c>
      <c r="C216" s="4">
        <v>131.9132922835162</v>
      </c>
    </row>
    <row r="217" spans="1:3" ht="15.75" customHeight="1">
      <c r="A217" s="4" t="s">
        <v>459</v>
      </c>
      <c r="B217" s="4" t="s">
        <v>460</v>
      </c>
      <c r="C217" s="4">
        <v>60.77455062820426</v>
      </c>
    </row>
    <row r="218" spans="1:3" ht="15.75" customHeight="1">
      <c r="A218" s="4" t="s">
        <v>461</v>
      </c>
      <c r="B218" s="4" t="s">
        <v>462</v>
      </c>
      <c r="C218" s="4"/>
    </row>
    <row r="219" spans="1:3" ht="15.75" customHeight="1">
      <c r="A219" s="4" t="s">
        <v>463</v>
      </c>
      <c r="B219" s="4" t="s">
        <v>464</v>
      </c>
      <c r="C219" s="4">
        <v>59.177554874855701</v>
      </c>
    </row>
    <row r="220" spans="1:3" ht="15.75" customHeight="1">
      <c r="A220" s="4" t="s">
        <v>465</v>
      </c>
      <c r="B220" s="4" t="s">
        <v>466</v>
      </c>
      <c r="C220" s="4">
        <v>154.50732220142049</v>
      </c>
    </row>
    <row r="221" spans="1:3" ht="15.75" customHeight="1">
      <c r="A221" s="4" t="s">
        <v>467</v>
      </c>
      <c r="B221" s="4" t="s">
        <v>468</v>
      </c>
      <c r="C221" s="4"/>
    </row>
    <row r="222" spans="1:3" ht="15.75" customHeight="1">
      <c r="A222" s="4" t="s">
        <v>469</v>
      </c>
      <c r="B222" s="4" t="s">
        <v>470</v>
      </c>
      <c r="C222" s="4"/>
    </row>
    <row r="223" spans="1:3" ht="15.75" customHeight="1">
      <c r="A223" s="4" t="s">
        <v>40</v>
      </c>
      <c r="B223" s="4" t="s">
        <v>471</v>
      </c>
      <c r="C223" s="4">
        <v>204.05631853115131</v>
      </c>
    </row>
    <row r="224" spans="1:3" ht="15.75" customHeight="1">
      <c r="A224" s="4" t="s">
        <v>34</v>
      </c>
      <c r="B224" s="4" t="s">
        <v>472</v>
      </c>
      <c r="C224" s="4">
        <v>186.64707627463179</v>
      </c>
    </row>
    <row r="225" spans="1:3" ht="15.75" customHeight="1">
      <c r="A225" s="4" t="s">
        <v>17</v>
      </c>
      <c r="B225" s="4" t="s">
        <v>473</v>
      </c>
      <c r="C225" s="4">
        <v>107.11175182651171</v>
      </c>
    </row>
    <row r="226" spans="1:3" ht="15.75" customHeight="1">
      <c r="A226" s="4" t="s">
        <v>93</v>
      </c>
      <c r="B226" s="4" t="s">
        <v>474</v>
      </c>
      <c r="C226" s="4">
        <v>92.571587129833361</v>
      </c>
    </row>
    <row r="227" spans="1:3" ht="15.75" customHeight="1">
      <c r="A227" s="4" t="s">
        <v>475</v>
      </c>
      <c r="B227" s="4" t="s">
        <v>476</v>
      </c>
      <c r="C227" s="4"/>
    </row>
    <row r="228" spans="1:3" ht="15.75" customHeight="1">
      <c r="A228" s="4" t="s">
        <v>477</v>
      </c>
      <c r="B228" s="4" t="s">
        <v>478</v>
      </c>
      <c r="C228" s="4">
        <v>189.82683543659101</v>
      </c>
    </row>
    <row r="229" spans="1:3" ht="15.75" customHeight="1">
      <c r="A229" s="4" t="s">
        <v>479</v>
      </c>
      <c r="B229" s="4" t="s">
        <v>480</v>
      </c>
      <c r="C229" s="4">
        <v>35.609468079995608</v>
      </c>
    </row>
    <row r="230" spans="1:3" ht="15.75" customHeight="1">
      <c r="A230" s="4" t="s">
        <v>481</v>
      </c>
      <c r="B230" s="4" t="s">
        <v>482</v>
      </c>
      <c r="C230" s="4"/>
    </row>
    <row r="231" spans="1:3" ht="15.75" customHeight="1">
      <c r="A231" s="4" t="s">
        <v>125</v>
      </c>
      <c r="B231" s="4" t="s">
        <v>483</v>
      </c>
      <c r="C231" s="4">
        <v>47.988378431942941</v>
      </c>
    </row>
    <row r="232" spans="1:3" ht="15.75" customHeight="1">
      <c r="A232" s="4" t="s">
        <v>484</v>
      </c>
      <c r="B232" s="4" t="s">
        <v>485</v>
      </c>
      <c r="C232" s="4">
        <v>46.760527925516747</v>
      </c>
    </row>
    <row r="233" spans="1:3" ht="15.75" customHeight="1">
      <c r="A233" s="4" t="s">
        <v>486</v>
      </c>
      <c r="B233" s="4" t="s">
        <v>487</v>
      </c>
      <c r="C233" s="4">
        <v>72.74879368475608</v>
      </c>
    </row>
    <row r="234" spans="1:3" ht="15.75" customHeight="1">
      <c r="A234" s="4" t="s">
        <v>127</v>
      </c>
      <c r="B234" s="4" t="s">
        <v>488</v>
      </c>
      <c r="C234" s="4">
        <v>61.575092396894007</v>
      </c>
    </row>
    <row r="235" spans="1:3" ht="15.75" customHeight="1">
      <c r="A235" s="4" t="s">
        <v>73</v>
      </c>
      <c r="B235" s="4" t="s">
        <v>489</v>
      </c>
      <c r="C235" s="4">
        <v>132.85871208287119</v>
      </c>
    </row>
    <row r="236" spans="1:3" ht="15.75" customHeight="1">
      <c r="A236" s="4" t="s">
        <v>121</v>
      </c>
      <c r="B236" s="4" t="s">
        <v>490</v>
      </c>
      <c r="C236" s="4">
        <v>65.435511589357745</v>
      </c>
    </row>
    <row r="237" spans="1:3" ht="15.75" customHeight="1">
      <c r="A237" s="4" t="s">
        <v>491</v>
      </c>
      <c r="B237" s="4" t="s">
        <v>492</v>
      </c>
      <c r="C237" s="4">
        <v>37.360950959777533</v>
      </c>
    </row>
    <row r="238" spans="1:3" ht="15.75" customHeight="1">
      <c r="A238" s="4" t="s">
        <v>493</v>
      </c>
      <c r="B238" s="4" t="s">
        <v>494</v>
      </c>
      <c r="C238" s="4">
        <v>54.767577438919261</v>
      </c>
    </row>
    <row r="239" spans="1:3" ht="15.75" customHeight="1">
      <c r="A239" s="4" t="s">
        <v>495</v>
      </c>
      <c r="B239" s="4" t="s">
        <v>496</v>
      </c>
      <c r="C239" s="4">
        <v>97.621110360735912</v>
      </c>
    </row>
    <row r="240" spans="1:3" ht="15.75" customHeight="1">
      <c r="A240" s="4" t="s">
        <v>497</v>
      </c>
      <c r="B240" s="4" t="s">
        <v>498</v>
      </c>
      <c r="C240" s="4">
        <v>58.411016083341181</v>
      </c>
    </row>
    <row r="241" spans="1:3" ht="15.75" customHeight="1">
      <c r="A241" s="4" t="s">
        <v>499</v>
      </c>
      <c r="B241" s="4" t="s">
        <v>500</v>
      </c>
      <c r="C241" s="4">
        <v>70.127275661723431</v>
      </c>
    </row>
    <row r="242" spans="1:3" ht="15.75" customHeight="1">
      <c r="A242" s="4" t="s">
        <v>501</v>
      </c>
      <c r="B242" s="4" t="s">
        <v>502</v>
      </c>
      <c r="C242" s="4">
        <v>48.842150266814848</v>
      </c>
    </row>
    <row r="243" spans="1:3" ht="15.75" customHeight="1">
      <c r="A243" s="4" t="s">
        <v>503</v>
      </c>
      <c r="B243" s="4" t="s">
        <v>504</v>
      </c>
      <c r="C243" s="4">
        <v>59.177554874855709</v>
      </c>
    </row>
    <row r="244" spans="1:3" ht="15.75" customHeight="1">
      <c r="A244" s="4" t="s">
        <v>505</v>
      </c>
      <c r="B244" s="4" t="s">
        <v>506</v>
      </c>
      <c r="C244" s="4"/>
    </row>
    <row r="245" spans="1:3" ht="15.75" customHeight="1">
      <c r="A245" s="4" t="s">
        <v>94</v>
      </c>
      <c r="B245" s="4" t="s">
        <v>507</v>
      </c>
      <c r="C245" s="4">
        <v>116.09579438414571</v>
      </c>
    </row>
    <row r="246" spans="1:3" ht="15.75" customHeight="1">
      <c r="A246" s="4" t="s">
        <v>58</v>
      </c>
      <c r="B246" s="4" t="s">
        <v>508</v>
      </c>
      <c r="C246" s="4">
        <v>79.898272231434092</v>
      </c>
    </row>
    <row r="247" spans="1:3" ht="15.75" customHeight="1">
      <c r="A247" s="4" t="s">
        <v>509</v>
      </c>
      <c r="B247" s="4" t="s">
        <v>510</v>
      </c>
      <c r="C247" s="4"/>
    </row>
    <row r="248" spans="1:3" ht="15.75" customHeight="1">
      <c r="A248" s="4" t="s">
        <v>120</v>
      </c>
      <c r="B248" s="4" t="s">
        <v>511</v>
      </c>
      <c r="C248" s="4">
        <v>35.003451710199379</v>
      </c>
    </row>
    <row r="249" spans="1:3" ht="15.75" customHeight="1">
      <c r="A249" s="4" t="s">
        <v>126</v>
      </c>
      <c r="B249" s="4" t="s">
        <v>512</v>
      </c>
      <c r="C249" s="4">
        <v>34.505301927093733</v>
      </c>
    </row>
    <row r="250" spans="1:3" ht="15.75" customHeight="1">
      <c r="A250" s="4" t="s">
        <v>91</v>
      </c>
      <c r="B250" s="4" t="s">
        <v>513</v>
      </c>
      <c r="C250" s="4">
        <v>87.396513990724387</v>
      </c>
    </row>
    <row r="251" spans="1:3" ht="15.75" customHeight="1">
      <c r="A251" s="4" t="s">
        <v>514</v>
      </c>
      <c r="B251" s="4" t="s">
        <v>515</v>
      </c>
      <c r="C251" s="4">
        <v>50.703386795682277</v>
      </c>
    </row>
    <row r="252" spans="1:3" ht="15.75" customHeight="1">
      <c r="A252" s="4" t="s">
        <v>42</v>
      </c>
      <c r="B252" s="4" t="s">
        <v>516</v>
      </c>
      <c r="C252" s="4">
        <v>61.030795104382143</v>
      </c>
    </row>
    <row r="253" spans="1:3" ht="15.75" customHeight="1">
      <c r="A253" s="4" t="s">
        <v>11</v>
      </c>
      <c r="B253" s="4" t="s">
        <v>517</v>
      </c>
      <c r="C253" s="4">
        <v>27.313939735536319</v>
      </c>
    </row>
    <row r="254" spans="1:3" ht="15.75" customHeight="1">
      <c r="A254" s="4" t="s">
        <v>104</v>
      </c>
      <c r="B254" s="4" t="s">
        <v>518</v>
      </c>
      <c r="C254" s="4">
        <v>62.841252537851709</v>
      </c>
    </row>
    <row r="255" spans="1:3" ht="15.75" customHeight="1">
      <c r="A255" s="4" t="s">
        <v>519</v>
      </c>
      <c r="B255" s="4" t="s">
        <v>520</v>
      </c>
      <c r="C255" s="4"/>
    </row>
    <row r="256" spans="1:3" ht="15.75" customHeight="1">
      <c r="A256" s="4" t="s">
        <v>100</v>
      </c>
      <c r="B256" s="4" t="s">
        <v>521</v>
      </c>
      <c r="C256" s="4">
        <v>27.89827706500223</v>
      </c>
    </row>
    <row r="257" spans="1:3" ht="15.75" customHeight="1">
      <c r="A257" s="4" t="s">
        <v>522</v>
      </c>
      <c r="B257" s="4" t="s">
        <v>523</v>
      </c>
      <c r="C257" s="4"/>
    </row>
    <row r="258" spans="1:3" ht="15.75" customHeight="1">
      <c r="A258" s="4" t="s">
        <v>524</v>
      </c>
      <c r="B258" s="4" t="s">
        <v>525</v>
      </c>
      <c r="C258" s="4">
        <v>205.6292808219178</v>
      </c>
    </row>
    <row r="259" spans="1:3" ht="15.75" customHeight="1">
      <c r="A259" s="4" t="s">
        <v>92</v>
      </c>
      <c r="B259" s="4" t="s">
        <v>526</v>
      </c>
      <c r="C259" s="4">
        <v>183.1536191478358</v>
      </c>
    </row>
    <row r="260" spans="1:3" ht="15.75" customHeight="1">
      <c r="A260" s="4" t="s">
        <v>527</v>
      </c>
      <c r="B260" s="4" t="s">
        <v>528</v>
      </c>
      <c r="C260" s="4">
        <v>63.599612167425349</v>
      </c>
    </row>
    <row r="261" spans="1:3" ht="15.75" customHeight="1">
      <c r="A261" s="4" t="s">
        <v>529</v>
      </c>
      <c r="B261" s="4" t="s">
        <v>530</v>
      </c>
      <c r="C261" s="4">
        <v>62.421666472052507</v>
      </c>
    </row>
    <row r="262" spans="1:3" ht="15.75" customHeight="1">
      <c r="A262" s="4" t="s">
        <v>531</v>
      </c>
      <c r="B262" s="4" t="s">
        <v>532</v>
      </c>
      <c r="C262" s="4">
        <v>60.847779654144873</v>
      </c>
    </row>
    <row r="263" spans="1:3" ht="15.75" customHeight="1">
      <c r="A263" s="4" t="s">
        <v>533</v>
      </c>
      <c r="B263" s="4" t="s">
        <v>534</v>
      </c>
      <c r="C263" s="4">
        <v>110.0120316192257</v>
      </c>
    </row>
    <row r="264" spans="1:3" ht="15.75" customHeight="1">
      <c r="A264" s="4" t="s">
        <v>535</v>
      </c>
      <c r="B264" s="4" t="s">
        <v>536</v>
      </c>
      <c r="C264" s="4"/>
    </row>
    <row r="265" spans="1:3" ht="15.75" customHeight="1">
      <c r="A265" s="4" t="s">
        <v>537</v>
      </c>
      <c r="B265" s="4" t="s">
        <v>538</v>
      </c>
      <c r="C265" s="4">
        <v>64.947134402340012</v>
      </c>
    </row>
    <row r="266" spans="1:3" ht="15.75" customHeight="1">
      <c r="A266" s="4" t="s">
        <v>117</v>
      </c>
      <c r="B266" s="4" t="s">
        <v>539</v>
      </c>
      <c r="C266" s="4">
        <v>69.297315419320299</v>
      </c>
    </row>
    <row r="267" spans="1:3" ht="15.75" customHeight="1">
      <c r="A267" s="4" t="s">
        <v>105</v>
      </c>
      <c r="B267" s="4" t="s">
        <v>540</v>
      </c>
      <c r="C267" s="4">
        <v>55.06735224760363</v>
      </c>
    </row>
    <row r="268" spans="1:3" ht="15.75" customHeight="1">
      <c r="A268" s="9"/>
      <c r="B268" s="9"/>
      <c r="C268" s="9"/>
    </row>
    <row r="269" spans="1:3" ht="15.75" customHeight="1">
      <c r="A269" s="9"/>
      <c r="B269" s="9"/>
      <c r="C269" s="9"/>
    </row>
    <row r="270" spans="1:3" ht="15.75" customHeight="1">
      <c r="A270" s="9"/>
      <c r="B270" s="9"/>
      <c r="C270" s="9"/>
    </row>
    <row r="271" spans="1:3" ht="15.75" customHeight="1">
      <c r="A271" s="9"/>
      <c r="B271" s="9"/>
      <c r="C271" s="9"/>
    </row>
    <row r="272" spans="1:3" ht="15.75" customHeight="1">
      <c r="A272" s="9"/>
      <c r="B272" s="9"/>
      <c r="C272" s="9"/>
    </row>
    <row r="273" spans="1:3" ht="15.75" customHeight="1">
      <c r="A273" s="9"/>
      <c r="B273" s="9"/>
      <c r="C273" s="9"/>
    </row>
    <row r="274" spans="1:3" ht="15.75" customHeight="1">
      <c r="A274" s="9"/>
      <c r="B274" s="9"/>
      <c r="C274" s="9"/>
    </row>
    <row r="275" spans="1:3" ht="15.75" customHeight="1">
      <c r="A275" s="9"/>
      <c r="B275" s="9"/>
      <c r="C275" s="9"/>
    </row>
    <row r="276" spans="1:3" ht="15.75" customHeight="1">
      <c r="A276" s="9"/>
      <c r="B276" s="9"/>
      <c r="C276" s="9"/>
    </row>
    <row r="277" spans="1:3" ht="15.75" customHeight="1">
      <c r="A277" s="9"/>
      <c r="B277" s="9"/>
      <c r="C277" s="9"/>
    </row>
    <row r="278" spans="1:3" ht="15.75" customHeight="1">
      <c r="A278" s="9"/>
      <c r="B278" s="9"/>
      <c r="C278" s="9"/>
    </row>
    <row r="279" spans="1:3" ht="15.75" customHeight="1">
      <c r="A279" s="9"/>
      <c r="B279" s="9"/>
      <c r="C279" s="9"/>
    </row>
    <row r="280" spans="1:3" ht="15.75" customHeight="1">
      <c r="A280" s="9"/>
      <c r="B280" s="9"/>
      <c r="C280" s="9"/>
    </row>
    <row r="281" spans="1:3" ht="15.75" customHeight="1">
      <c r="A281" s="9"/>
      <c r="B281" s="9"/>
      <c r="C281" s="9"/>
    </row>
    <row r="282" spans="1:3" ht="15.75" customHeight="1">
      <c r="A282" s="9"/>
      <c r="B282" s="9"/>
      <c r="C282" s="9"/>
    </row>
    <row r="283" spans="1:3" ht="15.75" customHeight="1">
      <c r="A283" s="9"/>
      <c r="B283" s="9"/>
      <c r="C283" s="9"/>
    </row>
    <row r="284" spans="1:3" ht="15.75" customHeight="1">
      <c r="A284" s="9"/>
      <c r="B284" s="9"/>
      <c r="C284" s="9"/>
    </row>
    <row r="285" spans="1:3" ht="15.75" customHeight="1">
      <c r="A285" s="9"/>
      <c r="B285" s="9"/>
      <c r="C285" s="9"/>
    </row>
    <row r="286" spans="1:3" ht="15.75" customHeight="1">
      <c r="A286" s="9"/>
      <c r="B286" s="9"/>
      <c r="C286" s="9"/>
    </row>
    <row r="287" spans="1:3" ht="15.75" customHeight="1">
      <c r="A287" s="9"/>
      <c r="B287" s="9"/>
      <c r="C287" s="9"/>
    </row>
    <row r="288" spans="1:3" ht="15.75" customHeight="1">
      <c r="A288" s="9"/>
      <c r="B288" s="9"/>
      <c r="C288" s="9"/>
    </row>
    <row r="289" spans="1:3" ht="15.75" customHeight="1">
      <c r="A289" s="9"/>
      <c r="B289" s="9"/>
      <c r="C289" s="9"/>
    </row>
    <row r="290" spans="1:3" ht="15.75" customHeight="1">
      <c r="A290" s="9"/>
      <c r="B290" s="9"/>
      <c r="C290" s="9"/>
    </row>
    <row r="291" spans="1:3" ht="15.75" customHeight="1">
      <c r="A291" s="9"/>
      <c r="B291" s="9"/>
      <c r="C291" s="9"/>
    </row>
    <row r="292" spans="1:3" ht="15.75" customHeight="1">
      <c r="A292" s="9"/>
      <c r="B292" s="9"/>
      <c r="C292" s="9"/>
    </row>
    <row r="293" spans="1:3" ht="15.75" customHeight="1">
      <c r="A293" s="9"/>
      <c r="B293" s="9"/>
      <c r="C293" s="9"/>
    </row>
    <row r="294" spans="1:3" ht="15.75" customHeight="1">
      <c r="A294" s="9"/>
      <c r="B294" s="9"/>
      <c r="C294" s="9"/>
    </row>
    <row r="295" spans="1:3" ht="15.75" customHeight="1">
      <c r="A295" s="9"/>
      <c r="B295" s="9"/>
      <c r="C295" s="9"/>
    </row>
    <row r="296" spans="1:3" ht="15.75" customHeight="1">
      <c r="A296" s="9"/>
      <c r="B296" s="9"/>
      <c r="C296" s="9"/>
    </row>
    <row r="297" spans="1:3" ht="15.75" customHeight="1">
      <c r="A297" s="9"/>
      <c r="B297" s="9"/>
      <c r="C297" s="9"/>
    </row>
    <row r="298" spans="1:3" ht="15.75" customHeight="1">
      <c r="A298" s="9"/>
      <c r="B298" s="9"/>
      <c r="C298" s="9"/>
    </row>
    <row r="299" spans="1:3" ht="15.75" customHeight="1">
      <c r="A299" s="9"/>
      <c r="B299" s="9"/>
      <c r="C299" s="9"/>
    </row>
    <row r="300" spans="1:3" ht="15.75" customHeight="1">
      <c r="A300" s="9"/>
      <c r="B300" s="9"/>
      <c r="C300" s="9"/>
    </row>
    <row r="301" spans="1:3" ht="15.75" customHeight="1">
      <c r="A301" s="9"/>
      <c r="B301" s="9"/>
      <c r="C301" s="9"/>
    </row>
    <row r="302" spans="1:3" ht="15.75" customHeight="1">
      <c r="A302" s="9"/>
      <c r="B302" s="9"/>
      <c r="C302" s="9"/>
    </row>
    <row r="303" spans="1:3" ht="15.75" customHeight="1">
      <c r="A303" s="9"/>
      <c r="B303" s="9"/>
      <c r="C303" s="9"/>
    </row>
    <row r="304" spans="1:3" ht="15.75" customHeight="1">
      <c r="A304" s="9"/>
      <c r="B304" s="9"/>
      <c r="C304" s="9"/>
    </row>
    <row r="305" spans="1:3" ht="15.75" customHeight="1">
      <c r="A305" s="9"/>
      <c r="B305" s="9"/>
      <c r="C305" s="9"/>
    </row>
    <row r="306" spans="1:3" ht="15.75" customHeight="1">
      <c r="A306" s="9"/>
      <c r="B306" s="9"/>
      <c r="C306" s="9"/>
    </row>
    <row r="307" spans="1:3" ht="15.75" customHeight="1">
      <c r="A307" s="9"/>
      <c r="B307" s="9"/>
      <c r="C307" s="9"/>
    </row>
    <row r="308" spans="1:3" ht="15.75" customHeight="1">
      <c r="A308" s="9"/>
      <c r="B308" s="9"/>
      <c r="C308" s="9"/>
    </row>
    <row r="309" spans="1:3" ht="15.75" customHeight="1">
      <c r="A309" s="9"/>
      <c r="B309" s="9"/>
      <c r="C309" s="9"/>
    </row>
    <row r="310" spans="1:3" ht="15.75" customHeight="1">
      <c r="A310" s="9"/>
      <c r="B310" s="9"/>
      <c r="C310" s="9"/>
    </row>
    <row r="311" spans="1:3" ht="15.75" customHeight="1">
      <c r="A311" s="9"/>
      <c r="B311" s="9"/>
      <c r="C311" s="9"/>
    </row>
    <row r="312" spans="1:3" ht="15.75" customHeight="1">
      <c r="A312" s="9"/>
      <c r="B312" s="9"/>
      <c r="C312" s="9"/>
    </row>
    <row r="313" spans="1:3" ht="15.75" customHeight="1">
      <c r="A313" s="9"/>
      <c r="B313" s="9"/>
      <c r="C313" s="9"/>
    </row>
    <row r="314" spans="1:3" ht="15.75" customHeight="1">
      <c r="A314" s="9"/>
      <c r="B314" s="9"/>
      <c r="C314" s="9"/>
    </row>
    <row r="315" spans="1:3" ht="15.75" customHeight="1">
      <c r="A315" s="9"/>
      <c r="B315" s="9"/>
      <c r="C315" s="9"/>
    </row>
    <row r="316" spans="1:3" ht="15.75" customHeight="1">
      <c r="A316" s="9"/>
      <c r="B316" s="9"/>
      <c r="C316" s="9"/>
    </row>
    <row r="317" spans="1:3" ht="15.75" customHeight="1">
      <c r="A317" s="9"/>
      <c r="B317" s="9"/>
      <c r="C317" s="9"/>
    </row>
    <row r="318" spans="1:3" ht="15.75" customHeight="1">
      <c r="A318" s="9"/>
      <c r="B318" s="9"/>
      <c r="C318" s="9"/>
    </row>
    <row r="319" spans="1:3" ht="15.75" customHeight="1">
      <c r="A319" s="9"/>
      <c r="B319" s="9"/>
      <c r="C319" s="9"/>
    </row>
    <row r="320" spans="1:3" ht="15.75" customHeight="1">
      <c r="A320" s="9"/>
      <c r="B320" s="9"/>
      <c r="C320" s="9"/>
    </row>
    <row r="321" spans="1:3" ht="15.75" customHeight="1">
      <c r="A321" s="9"/>
      <c r="B321" s="9"/>
      <c r="C321" s="9"/>
    </row>
    <row r="322" spans="1:3" ht="15.75" customHeight="1">
      <c r="A322" s="9"/>
      <c r="B322" s="9"/>
      <c r="C322" s="9"/>
    </row>
    <row r="323" spans="1:3" ht="15.75" customHeight="1">
      <c r="A323" s="9"/>
      <c r="B323" s="9"/>
      <c r="C323" s="9"/>
    </row>
    <row r="324" spans="1:3" ht="15.75" customHeight="1">
      <c r="A324" s="9"/>
      <c r="B324" s="9"/>
      <c r="C324" s="9"/>
    </row>
    <row r="325" spans="1:3" ht="15.75" customHeight="1">
      <c r="A325" s="9"/>
      <c r="B325" s="9"/>
      <c r="C325" s="9"/>
    </row>
    <row r="326" spans="1:3" ht="15.75" customHeight="1">
      <c r="A326" s="9"/>
      <c r="B326" s="9"/>
      <c r="C326" s="9"/>
    </row>
    <row r="327" spans="1:3" ht="15.75" customHeight="1">
      <c r="A327" s="9"/>
      <c r="B327" s="9"/>
      <c r="C327" s="9"/>
    </row>
    <row r="328" spans="1:3" ht="15.75" customHeight="1">
      <c r="A328" s="9"/>
      <c r="B328" s="9"/>
      <c r="C328" s="9"/>
    </row>
    <row r="329" spans="1:3" ht="15.75" customHeight="1">
      <c r="A329" s="9"/>
      <c r="B329" s="9"/>
      <c r="C329" s="9"/>
    </row>
    <row r="330" spans="1:3" ht="15.75" customHeight="1">
      <c r="A330" s="9"/>
      <c r="B330" s="9"/>
      <c r="C330" s="9"/>
    </row>
    <row r="331" spans="1:3" ht="15.75" customHeight="1">
      <c r="A331" s="9"/>
      <c r="B331" s="9"/>
      <c r="C331" s="9"/>
    </row>
    <row r="332" spans="1:3" ht="15.75" customHeight="1">
      <c r="A332" s="9"/>
      <c r="B332" s="9"/>
      <c r="C332" s="9"/>
    </row>
    <row r="333" spans="1:3" ht="15.75" customHeight="1">
      <c r="A333" s="9"/>
      <c r="B333" s="9"/>
      <c r="C333" s="9"/>
    </row>
    <row r="334" spans="1:3" ht="15.75" customHeight="1">
      <c r="A334" s="9"/>
      <c r="B334" s="9"/>
      <c r="C334" s="9"/>
    </row>
    <row r="335" spans="1:3" ht="15.75" customHeight="1">
      <c r="A335" s="9"/>
      <c r="B335" s="9"/>
      <c r="C335" s="9"/>
    </row>
    <row r="336" spans="1:3" ht="15.75" customHeight="1">
      <c r="A336" s="9"/>
      <c r="B336" s="9"/>
      <c r="C336" s="9"/>
    </row>
    <row r="337" spans="1:3" ht="15.75" customHeight="1">
      <c r="A337" s="9"/>
      <c r="B337" s="9"/>
      <c r="C337" s="9"/>
    </row>
    <row r="338" spans="1:3" ht="15.75" customHeight="1">
      <c r="A338" s="9"/>
      <c r="B338" s="9"/>
      <c r="C338" s="9"/>
    </row>
    <row r="339" spans="1:3" ht="15.75" customHeight="1">
      <c r="A339" s="9"/>
      <c r="B339" s="9"/>
      <c r="C339" s="9"/>
    </row>
    <row r="340" spans="1:3" ht="15.75" customHeight="1">
      <c r="A340" s="9"/>
      <c r="B340" s="9"/>
      <c r="C340" s="9"/>
    </row>
    <row r="341" spans="1:3" ht="15.75" customHeight="1">
      <c r="A341" s="9"/>
      <c r="B341" s="9"/>
      <c r="C341" s="9"/>
    </row>
    <row r="342" spans="1:3" ht="15.75" customHeight="1">
      <c r="A342" s="9"/>
      <c r="B342" s="9"/>
      <c r="C342" s="9"/>
    </row>
    <row r="343" spans="1:3" ht="15.75" customHeight="1">
      <c r="A343" s="9"/>
      <c r="B343" s="9"/>
      <c r="C343" s="9"/>
    </row>
    <row r="344" spans="1:3" ht="15.75" customHeight="1">
      <c r="A344" s="9"/>
      <c r="B344" s="9"/>
      <c r="C344" s="9"/>
    </row>
    <row r="345" spans="1:3" ht="15.75" customHeight="1">
      <c r="A345" s="9"/>
      <c r="B345" s="9"/>
      <c r="C345" s="9"/>
    </row>
    <row r="346" spans="1:3" ht="15.75" customHeight="1">
      <c r="A346" s="9"/>
      <c r="B346" s="9"/>
      <c r="C346" s="9"/>
    </row>
    <row r="347" spans="1:3" ht="15.75" customHeight="1">
      <c r="A347" s="9"/>
      <c r="B347" s="9"/>
      <c r="C347" s="9"/>
    </row>
    <row r="348" spans="1:3" ht="15.75" customHeight="1">
      <c r="A348" s="9"/>
      <c r="B348" s="9"/>
      <c r="C348" s="9"/>
    </row>
    <row r="349" spans="1:3" ht="15.75" customHeight="1">
      <c r="A349" s="9"/>
      <c r="B349" s="9"/>
      <c r="C349" s="9"/>
    </row>
    <row r="350" spans="1:3" ht="15.75" customHeight="1">
      <c r="A350" s="9"/>
      <c r="B350" s="9"/>
      <c r="C350" s="9"/>
    </row>
    <row r="351" spans="1:3" ht="15.75" customHeight="1">
      <c r="A351" s="9"/>
      <c r="B351" s="9"/>
      <c r="C351" s="9"/>
    </row>
    <row r="352" spans="1:3" ht="15.75" customHeight="1">
      <c r="A352" s="9"/>
      <c r="B352" s="9"/>
      <c r="C352" s="9"/>
    </row>
    <row r="353" spans="1:3" ht="15.75" customHeight="1">
      <c r="A353" s="9"/>
      <c r="B353" s="9"/>
      <c r="C353" s="9"/>
    </row>
    <row r="354" spans="1:3" ht="15.75" customHeight="1">
      <c r="A354" s="9"/>
      <c r="B354" s="9"/>
      <c r="C354" s="9"/>
    </row>
    <row r="355" spans="1:3" ht="15.75" customHeight="1">
      <c r="A355" s="9"/>
      <c r="B355" s="9"/>
      <c r="C355" s="9"/>
    </row>
    <row r="356" spans="1:3" ht="15.75" customHeight="1">
      <c r="A356" s="9"/>
      <c r="B356" s="9"/>
      <c r="C356" s="9"/>
    </row>
    <row r="357" spans="1:3" ht="15.75" customHeight="1">
      <c r="A357" s="9"/>
      <c r="B357" s="9"/>
      <c r="C357" s="9"/>
    </row>
    <row r="358" spans="1:3" ht="15.75" customHeight="1">
      <c r="A358" s="9"/>
      <c r="B358" s="9"/>
      <c r="C358" s="9"/>
    </row>
    <row r="359" spans="1:3" ht="15.75" customHeight="1">
      <c r="A359" s="9"/>
      <c r="B359" s="9"/>
      <c r="C359" s="9"/>
    </row>
    <row r="360" spans="1:3" ht="15.75" customHeight="1">
      <c r="A360" s="9"/>
      <c r="B360" s="9"/>
      <c r="C360" s="9"/>
    </row>
    <row r="361" spans="1:3" ht="15.75" customHeight="1">
      <c r="A361" s="9"/>
      <c r="B361" s="9"/>
      <c r="C361" s="9"/>
    </row>
    <row r="362" spans="1:3" ht="15.75" customHeight="1">
      <c r="A362" s="9"/>
      <c r="B362" s="9"/>
      <c r="C362" s="9"/>
    </row>
    <row r="363" spans="1:3" ht="15.75" customHeight="1">
      <c r="A363" s="9"/>
      <c r="B363" s="9"/>
      <c r="C363" s="9"/>
    </row>
    <row r="364" spans="1:3" ht="15.75" customHeight="1">
      <c r="A364" s="9"/>
      <c r="B364" s="9"/>
      <c r="C364" s="9"/>
    </row>
    <row r="365" spans="1:3" ht="15.75" customHeight="1">
      <c r="A365" s="9"/>
      <c r="B365" s="9"/>
      <c r="C365" s="9"/>
    </row>
    <row r="366" spans="1:3" ht="15.75" customHeight="1">
      <c r="A366" s="9"/>
      <c r="B366" s="9"/>
      <c r="C366" s="9"/>
    </row>
    <row r="367" spans="1:3" ht="15.75" customHeight="1">
      <c r="A367" s="9"/>
      <c r="B367" s="9"/>
      <c r="C367" s="9"/>
    </row>
    <row r="368" spans="1:3" ht="15.75" customHeight="1">
      <c r="A368" s="9"/>
      <c r="B368" s="9"/>
      <c r="C368" s="9"/>
    </row>
    <row r="369" spans="1:3" ht="15.75" customHeight="1">
      <c r="A369" s="9"/>
      <c r="B369" s="9"/>
      <c r="C369" s="9"/>
    </row>
    <row r="370" spans="1:3" ht="15.75" customHeight="1">
      <c r="A370" s="9"/>
      <c r="B370" s="9"/>
      <c r="C370" s="9"/>
    </row>
    <row r="371" spans="1:3" ht="15.75" customHeight="1">
      <c r="A371" s="9"/>
      <c r="B371" s="9"/>
      <c r="C371" s="9"/>
    </row>
    <row r="372" spans="1:3" ht="15.75" customHeight="1">
      <c r="A372" s="9"/>
      <c r="B372" s="9"/>
      <c r="C372" s="9"/>
    </row>
    <row r="373" spans="1:3" ht="15.75" customHeight="1">
      <c r="A373" s="9"/>
      <c r="B373" s="9"/>
      <c r="C373" s="9"/>
    </row>
    <row r="374" spans="1:3" ht="15.75" customHeight="1">
      <c r="A374" s="9"/>
      <c r="B374" s="9"/>
      <c r="C374" s="9"/>
    </row>
    <row r="375" spans="1:3" ht="15.75" customHeight="1">
      <c r="A375" s="9"/>
      <c r="B375" s="9"/>
      <c r="C375" s="9"/>
    </row>
    <row r="376" spans="1:3" ht="15.75" customHeight="1">
      <c r="A376" s="9"/>
      <c r="B376" s="9"/>
      <c r="C376" s="9"/>
    </row>
    <row r="377" spans="1:3" ht="15.75" customHeight="1">
      <c r="A377" s="9"/>
      <c r="B377" s="9"/>
      <c r="C377" s="9"/>
    </row>
    <row r="378" spans="1:3" ht="15.75" customHeight="1">
      <c r="A378" s="9"/>
      <c r="B378" s="9"/>
      <c r="C378" s="9"/>
    </row>
    <row r="379" spans="1:3" ht="15.75" customHeight="1">
      <c r="A379" s="9"/>
      <c r="B379" s="9"/>
      <c r="C379" s="9"/>
    </row>
    <row r="380" spans="1:3" ht="15.75" customHeight="1">
      <c r="A380" s="9"/>
      <c r="B380" s="9"/>
      <c r="C380" s="9"/>
    </row>
    <row r="381" spans="1:3" ht="15.75" customHeight="1">
      <c r="A381" s="9"/>
      <c r="B381" s="9"/>
      <c r="C381" s="9"/>
    </row>
    <row r="382" spans="1:3" ht="15.75" customHeight="1">
      <c r="A382" s="9"/>
      <c r="B382" s="9"/>
      <c r="C382" s="9"/>
    </row>
    <row r="383" spans="1:3" ht="15.75" customHeight="1">
      <c r="A383" s="9"/>
      <c r="B383" s="9"/>
      <c r="C383" s="9"/>
    </row>
    <row r="384" spans="1:3" ht="15.75" customHeight="1">
      <c r="A384" s="9"/>
      <c r="B384" s="9"/>
      <c r="C384" s="9"/>
    </row>
    <row r="385" spans="1:3" ht="15.75" customHeight="1">
      <c r="A385" s="9"/>
      <c r="B385" s="9"/>
      <c r="C385" s="9"/>
    </row>
    <row r="386" spans="1:3" ht="15.75" customHeight="1">
      <c r="A386" s="9"/>
      <c r="B386" s="9"/>
      <c r="C386" s="9"/>
    </row>
    <row r="387" spans="1:3" ht="15.75" customHeight="1">
      <c r="A387" s="9"/>
      <c r="B387" s="9"/>
      <c r="C387" s="9"/>
    </row>
    <row r="388" spans="1:3" ht="15.75" customHeight="1">
      <c r="A388" s="9"/>
      <c r="B388" s="9"/>
      <c r="C388" s="9"/>
    </row>
    <row r="389" spans="1:3" ht="15.75" customHeight="1">
      <c r="A389" s="9"/>
      <c r="B389" s="9"/>
      <c r="C389" s="9"/>
    </row>
    <row r="390" spans="1:3" ht="15.75" customHeight="1">
      <c r="A390" s="9"/>
      <c r="B390" s="9"/>
      <c r="C390" s="9"/>
    </row>
    <row r="391" spans="1:3" ht="15.75" customHeight="1">
      <c r="A391" s="9"/>
      <c r="B391" s="9"/>
      <c r="C391" s="9"/>
    </row>
    <row r="392" spans="1:3" ht="15.75" customHeight="1">
      <c r="A392" s="9"/>
      <c r="B392" s="9"/>
      <c r="C392" s="9"/>
    </row>
    <row r="393" spans="1:3" ht="15.75" customHeight="1">
      <c r="A393" s="9"/>
      <c r="B393" s="9"/>
      <c r="C393" s="9"/>
    </row>
    <row r="394" spans="1:3" ht="15.75" customHeight="1">
      <c r="A394" s="9"/>
      <c r="B394" s="9"/>
      <c r="C394" s="9"/>
    </row>
    <row r="395" spans="1:3" ht="15.75" customHeight="1">
      <c r="A395" s="9"/>
      <c r="B395" s="9"/>
      <c r="C395" s="9"/>
    </row>
    <row r="396" spans="1:3" ht="15.75" customHeight="1">
      <c r="A396" s="9"/>
      <c r="B396" s="9"/>
      <c r="C396" s="9"/>
    </row>
    <row r="397" spans="1:3" ht="15.75" customHeight="1">
      <c r="A397" s="9"/>
      <c r="B397" s="9"/>
      <c r="C397" s="9"/>
    </row>
    <row r="398" spans="1:3" ht="15.75" customHeight="1">
      <c r="A398" s="9"/>
      <c r="B398" s="9"/>
      <c r="C398" s="9"/>
    </row>
    <row r="399" spans="1:3" ht="15.75" customHeight="1">
      <c r="A399" s="9"/>
      <c r="B399" s="9"/>
      <c r="C399" s="9"/>
    </row>
    <row r="400" spans="1:3" ht="15.75" customHeight="1">
      <c r="A400" s="9"/>
      <c r="B400" s="9"/>
      <c r="C400" s="9"/>
    </row>
    <row r="401" spans="1:3" ht="15.75" customHeight="1">
      <c r="A401" s="9"/>
      <c r="B401" s="9"/>
      <c r="C401" s="9"/>
    </row>
    <row r="402" spans="1:3" ht="15.75" customHeight="1">
      <c r="A402" s="9"/>
      <c r="B402" s="9"/>
      <c r="C402" s="9"/>
    </row>
    <row r="403" spans="1:3" ht="15.75" customHeight="1">
      <c r="A403" s="9"/>
      <c r="B403" s="9"/>
      <c r="C403" s="9"/>
    </row>
    <row r="404" spans="1:3" ht="15.75" customHeight="1">
      <c r="A404" s="9"/>
      <c r="B404" s="9"/>
      <c r="C404" s="9"/>
    </row>
    <row r="405" spans="1:3" ht="15.75" customHeight="1">
      <c r="A405" s="9"/>
      <c r="B405" s="9"/>
      <c r="C405" s="9"/>
    </row>
    <row r="406" spans="1:3" ht="15.75" customHeight="1">
      <c r="A406" s="9"/>
      <c r="B406" s="9"/>
      <c r="C406" s="9"/>
    </row>
    <row r="407" spans="1:3" ht="15.75" customHeight="1">
      <c r="A407" s="9"/>
      <c r="B407" s="9"/>
      <c r="C407" s="9"/>
    </row>
    <row r="408" spans="1:3" ht="15.75" customHeight="1">
      <c r="A408" s="9"/>
      <c r="B408" s="9"/>
      <c r="C408" s="9"/>
    </row>
    <row r="409" spans="1:3" ht="15.75" customHeight="1">
      <c r="A409" s="9"/>
      <c r="B409" s="9"/>
      <c r="C409" s="9"/>
    </row>
    <row r="410" spans="1:3" ht="15.75" customHeight="1">
      <c r="A410" s="9"/>
      <c r="B410" s="9"/>
      <c r="C410" s="9"/>
    </row>
    <row r="411" spans="1:3" ht="15.75" customHeight="1">
      <c r="A411" s="9"/>
      <c r="B411" s="9"/>
      <c r="C411" s="9"/>
    </row>
    <row r="412" spans="1:3" ht="15.75" customHeight="1">
      <c r="A412" s="9"/>
      <c r="B412" s="9"/>
      <c r="C412" s="9"/>
    </row>
    <row r="413" spans="1:3" ht="15.75" customHeight="1">
      <c r="A413" s="9"/>
      <c r="B413" s="9"/>
      <c r="C413" s="9"/>
    </row>
    <row r="414" spans="1:3" ht="15.75" customHeight="1">
      <c r="A414" s="9"/>
      <c r="B414" s="9"/>
      <c r="C414" s="9"/>
    </row>
    <row r="415" spans="1:3" ht="15.75" customHeight="1">
      <c r="A415" s="9"/>
      <c r="B415" s="9"/>
      <c r="C415" s="9"/>
    </row>
    <row r="416" spans="1:3" ht="15.75" customHeight="1">
      <c r="A416" s="9"/>
      <c r="B416" s="9"/>
      <c r="C416" s="9"/>
    </row>
    <row r="417" spans="1:3" ht="15.75" customHeight="1">
      <c r="A417" s="9"/>
      <c r="B417" s="9"/>
      <c r="C417" s="9"/>
    </row>
    <row r="418" spans="1:3" ht="15.75" customHeight="1">
      <c r="A418" s="9"/>
      <c r="B418" s="9"/>
      <c r="C418" s="9"/>
    </row>
    <row r="419" spans="1:3" ht="15.75" customHeight="1">
      <c r="A419" s="9"/>
      <c r="B419" s="9"/>
      <c r="C419" s="9"/>
    </row>
    <row r="420" spans="1:3" ht="15.75" customHeight="1">
      <c r="A420" s="9"/>
      <c r="B420" s="9"/>
      <c r="C420" s="9"/>
    </row>
    <row r="421" spans="1:3" ht="15.75" customHeight="1">
      <c r="A421" s="9"/>
      <c r="B421" s="9"/>
      <c r="C421" s="9"/>
    </row>
    <row r="422" spans="1:3" ht="15.75" customHeight="1">
      <c r="A422" s="9"/>
      <c r="B422" s="9"/>
      <c r="C422" s="9"/>
    </row>
    <row r="423" spans="1:3" ht="15.75" customHeight="1">
      <c r="A423" s="9"/>
      <c r="B423" s="9"/>
      <c r="C423" s="9"/>
    </row>
    <row r="424" spans="1:3" ht="15.75" customHeight="1">
      <c r="A424" s="9"/>
      <c r="B424" s="9"/>
      <c r="C424" s="9"/>
    </row>
    <row r="425" spans="1:3" ht="15.75" customHeight="1">
      <c r="A425" s="9"/>
      <c r="B425" s="9"/>
      <c r="C425" s="9"/>
    </row>
    <row r="426" spans="1:3" ht="15.75" customHeight="1">
      <c r="A426" s="9"/>
      <c r="B426" s="9"/>
      <c r="C426" s="9"/>
    </row>
    <row r="427" spans="1:3" ht="15.75" customHeight="1">
      <c r="A427" s="9"/>
      <c r="B427" s="9"/>
      <c r="C427" s="9"/>
    </row>
    <row r="428" spans="1:3" ht="15.75" customHeight="1">
      <c r="A428" s="9"/>
      <c r="B428" s="9"/>
      <c r="C428" s="9"/>
    </row>
    <row r="429" spans="1:3" ht="15.75" customHeight="1">
      <c r="A429" s="9"/>
      <c r="B429" s="9"/>
      <c r="C429" s="9"/>
    </row>
    <row r="430" spans="1:3" ht="15.75" customHeight="1">
      <c r="A430" s="9"/>
      <c r="B430" s="9"/>
      <c r="C430" s="9"/>
    </row>
    <row r="431" spans="1:3" ht="15.75" customHeight="1">
      <c r="A431" s="9"/>
      <c r="B431" s="9"/>
      <c r="C431" s="9"/>
    </row>
    <row r="432" spans="1:3" ht="15.75" customHeight="1">
      <c r="A432" s="9"/>
      <c r="B432" s="9"/>
      <c r="C432" s="9"/>
    </row>
    <row r="433" spans="1:3" ht="15.75" customHeight="1">
      <c r="A433" s="9"/>
      <c r="B433" s="9"/>
      <c r="C433" s="9"/>
    </row>
    <row r="434" spans="1:3" ht="15.75" customHeight="1">
      <c r="A434" s="9"/>
      <c r="B434" s="9"/>
      <c r="C434" s="9"/>
    </row>
    <row r="435" spans="1:3" ht="15.75" customHeight="1">
      <c r="A435" s="9"/>
      <c r="B435" s="9"/>
      <c r="C435" s="9"/>
    </row>
    <row r="436" spans="1:3" ht="15.75" customHeight="1">
      <c r="A436" s="9"/>
      <c r="B436" s="9"/>
      <c r="C436" s="9"/>
    </row>
    <row r="437" spans="1:3" ht="15.75" customHeight="1">
      <c r="A437" s="9"/>
      <c r="B437" s="9"/>
      <c r="C437" s="9"/>
    </row>
    <row r="438" spans="1:3" ht="15.75" customHeight="1">
      <c r="A438" s="9"/>
      <c r="B438" s="9"/>
      <c r="C438" s="9"/>
    </row>
    <row r="439" spans="1:3" ht="15.75" customHeight="1">
      <c r="A439" s="9"/>
      <c r="B439" s="9"/>
      <c r="C439" s="9"/>
    </row>
    <row r="440" spans="1:3" ht="15.75" customHeight="1">
      <c r="A440" s="9"/>
      <c r="B440" s="9"/>
      <c r="C440" s="9"/>
    </row>
    <row r="441" spans="1:3" ht="15.75" customHeight="1">
      <c r="A441" s="9"/>
      <c r="B441" s="9"/>
      <c r="C441" s="9"/>
    </row>
    <row r="442" spans="1:3" ht="15.75" customHeight="1">
      <c r="A442" s="9"/>
      <c r="B442" s="9"/>
      <c r="C442" s="9"/>
    </row>
    <row r="443" spans="1:3" ht="15.75" customHeight="1">
      <c r="A443" s="9"/>
      <c r="B443" s="9"/>
      <c r="C443" s="9"/>
    </row>
    <row r="444" spans="1:3" ht="15.75" customHeight="1">
      <c r="A444" s="9"/>
      <c r="B444" s="9"/>
      <c r="C444" s="9"/>
    </row>
    <row r="445" spans="1:3" ht="15.75" customHeight="1">
      <c r="A445" s="9"/>
      <c r="B445" s="9"/>
      <c r="C445" s="9"/>
    </row>
    <row r="446" spans="1:3" ht="15.75" customHeight="1">
      <c r="A446" s="9"/>
      <c r="B446" s="9"/>
      <c r="C446" s="9"/>
    </row>
    <row r="447" spans="1:3" ht="15.75" customHeight="1">
      <c r="A447" s="9"/>
      <c r="B447" s="9"/>
      <c r="C447" s="9"/>
    </row>
    <row r="448" spans="1:3" ht="15.75" customHeight="1">
      <c r="A448" s="9"/>
      <c r="B448" s="9"/>
      <c r="C448" s="9"/>
    </row>
    <row r="449" spans="1:3" ht="15.75" customHeight="1">
      <c r="A449" s="9"/>
      <c r="B449" s="9"/>
      <c r="C449" s="9"/>
    </row>
    <row r="450" spans="1:3" ht="15.75" customHeight="1">
      <c r="A450" s="9"/>
      <c r="B450" s="9"/>
      <c r="C450" s="9"/>
    </row>
    <row r="451" spans="1:3" ht="15.75" customHeight="1">
      <c r="A451" s="9"/>
      <c r="B451" s="9"/>
      <c r="C451" s="9"/>
    </row>
    <row r="452" spans="1:3" ht="15.75" customHeight="1">
      <c r="A452" s="9"/>
      <c r="B452" s="9"/>
      <c r="C452" s="9"/>
    </row>
    <row r="453" spans="1:3" ht="15.75" customHeight="1">
      <c r="A453" s="9"/>
      <c r="B453" s="9"/>
      <c r="C453" s="9"/>
    </row>
    <row r="454" spans="1:3" ht="15.75" customHeight="1">
      <c r="A454" s="9"/>
      <c r="B454" s="9"/>
      <c r="C454" s="9"/>
    </row>
    <row r="455" spans="1:3" ht="15.75" customHeight="1">
      <c r="A455" s="9"/>
      <c r="B455" s="9"/>
      <c r="C455" s="9"/>
    </row>
    <row r="456" spans="1:3" ht="15.75" customHeight="1">
      <c r="A456" s="9"/>
      <c r="B456" s="9"/>
      <c r="C456" s="9"/>
    </row>
    <row r="457" spans="1:3" ht="15.75" customHeight="1">
      <c r="A457" s="9"/>
      <c r="B457" s="9"/>
      <c r="C457" s="9"/>
    </row>
    <row r="458" spans="1:3" ht="15.75" customHeight="1">
      <c r="A458" s="9"/>
      <c r="B458" s="9"/>
      <c r="C458" s="9"/>
    </row>
    <row r="459" spans="1:3" ht="15.75" customHeight="1">
      <c r="A459" s="9"/>
      <c r="B459" s="9"/>
      <c r="C459" s="9"/>
    </row>
    <row r="460" spans="1:3" ht="15.75" customHeight="1">
      <c r="A460" s="9"/>
      <c r="B460" s="9"/>
      <c r="C460" s="9"/>
    </row>
    <row r="461" spans="1:3" ht="15.75" customHeight="1">
      <c r="A461" s="9"/>
      <c r="B461" s="9"/>
      <c r="C461" s="9"/>
    </row>
    <row r="462" spans="1:3" ht="15.75" customHeight="1">
      <c r="A462" s="9"/>
      <c r="B462" s="9"/>
      <c r="C462" s="9"/>
    </row>
    <row r="463" spans="1:3" ht="15.75" customHeight="1">
      <c r="A463" s="9"/>
      <c r="B463" s="9"/>
      <c r="C463" s="9"/>
    </row>
    <row r="464" spans="1:3" ht="15.75" customHeight="1">
      <c r="A464" s="9"/>
      <c r="B464" s="9"/>
      <c r="C464" s="9"/>
    </row>
    <row r="465" spans="1:3" ht="15.75" customHeight="1">
      <c r="A465" s="9"/>
      <c r="B465" s="9"/>
      <c r="C465" s="9"/>
    </row>
    <row r="466" spans="1:3" ht="15.75" customHeight="1">
      <c r="A466" s="9"/>
      <c r="B466" s="9"/>
      <c r="C466" s="9"/>
    </row>
    <row r="467" spans="1:3" ht="15.75" customHeight="1">
      <c r="A467" s="9"/>
      <c r="B467" s="9"/>
      <c r="C467" s="9"/>
    </row>
    <row r="468" spans="1:3" ht="15.75" customHeight="1"/>
    <row r="469" spans="1:3" ht="15.75" customHeight="1"/>
    <row r="470" spans="1:3" ht="15.75" customHeight="1"/>
    <row r="471" spans="1:3" ht="15.75" customHeight="1"/>
    <row r="472" spans="1:3" ht="15.75" customHeight="1"/>
    <row r="473" spans="1:3" ht="15.75" customHeight="1"/>
    <row r="474" spans="1:3" ht="15.75" customHeight="1"/>
    <row r="475" spans="1:3" ht="15.75" customHeight="1"/>
    <row r="476" spans="1:3" ht="15.75" customHeight="1"/>
    <row r="477" spans="1:3" ht="15.75" customHeight="1"/>
    <row r="478" spans="1:3" ht="15.75" customHeight="1"/>
    <row r="479" spans="1:3" ht="15.75" customHeight="1"/>
    <row r="480" spans="1:3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68.5703125" customWidth="1"/>
    <col min="2" max="2" width="20.140625" customWidth="1"/>
    <col min="3" max="3" width="34.7109375" customWidth="1"/>
    <col min="4" max="6" width="12.5703125" customWidth="1"/>
  </cols>
  <sheetData>
    <row r="1" spans="1:26" ht="15" customHeight="1">
      <c r="A1" s="10" t="s">
        <v>0</v>
      </c>
      <c r="B1" s="10" t="s">
        <v>132</v>
      </c>
      <c r="C1" s="10" t="s">
        <v>3</v>
      </c>
      <c r="D1" s="11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" customHeight="1">
      <c r="A2" s="13" t="s">
        <v>134</v>
      </c>
      <c r="B2" s="13" t="s">
        <v>135</v>
      </c>
      <c r="C2" s="1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customHeight="1">
      <c r="A3" s="13" t="s">
        <v>136</v>
      </c>
      <c r="B3" s="13" t="s">
        <v>137</v>
      </c>
      <c r="C3" s="15">
        <v>502.71391299999999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>
      <c r="A4" s="13" t="s">
        <v>138</v>
      </c>
      <c r="B4" s="13" t="s">
        <v>139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>
      <c r="A5" s="13" t="s">
        <v>140</v>
      </c>
      <c r="B5" s="13" t="s">
        <v>141</v>
      </c>
      <c r="C5" s="15">
        <v>199.85447149999999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>
      <c r="A6" s="13" t="s">
        <v>95</v>
      </c>
      <c r="B6" s="13" t="s">
        <v>142</v>
      </c>
      <c r="C6" s="15">
        <v>373.03182779999997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>
      <c r="A7" s="13" t="s">
        <v>68</v>
      </c>
      <c r="B7" s="13" t="s">
        <v>143</v>
      </c>
      <c r="C7" s="15">
        <v>2840.9600770000002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customHeight="1">
      <c r="A8" s="13" t="s">
        <v>144</v>
      </c>
      <c r="B8" s="13" t="s">
        <v>145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customHeight="1">
      <c r="A9" s="13" t="s">
        <v>146</v>
      </c>
      <c r="B9" s="13" t="s">
        <v>147</v>
      </c>
      <c r="C9" s="15">
        <v>2676.5656260000001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customHeight="1">
      <c r="A10" s="13" t="s">
        <v>148</v>
      </c>
      <c r="B10" s="13" t="s">
        <v>149</v>
      </c>
      <c r="C10" s="15">
        <v>14687.973980000001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customHeight="1">
      <c r="A11" s="13" t="s">
        <v>52</v>
      </c>
      <c r="B11" s="13" t="s">
        <v>150</v>
      </c>
      <c r="C11" s="15">
        <v>2833.1190980000001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customHeight="1">
      <c r="A12" s="13" t="s">
        <v>76</v>
      </c>
      <c r="B12" s="13" t="s">
        <v>151</v>
      </c>
      <c r="C12" s="15">
        <v>2403.6777579999998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customHeight="1">
      <c r="A13" s="13" t="s">
        <v>152</v>
      </c>
      <c r="B13" s="13" t="s">
        <v>153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customHeight="1">
      <c r="A14" s="13" t="s">
        <v>154</v>
      </c>
      <c r="B14" s="13" t="s">
        <v>155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customHeight="1">
      <c r="A15" s="13" t="s">
        <v>13</v>
      </c>
      <c r="B15" s="13" t="s">
        <v>156</v>
      </c>
      <c r="C15" s="15">
        <v>9923.4316710000003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customHeight="1">
      <c r="A16" s="13" t="s">
        <v>18</v>
      </c>
      <c r="B16" s="13" t="s">
        <v>157</v>
      </c>
      <c r="C16" s="15">
        <v>8254.3939289999998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>
      <c r="A17" s="13" t="s">
        <v>67</v>
      </c>
      <c r="B17" s="13" t="s">
        <v>158</v>
      </c>
      <c r="C17" s="15">
        <v>2365.8624799999998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customHeight="1">
      <c r="A18" s="13" t="s">
        <v>159</v>
      </c>
      <c r="B18" s="13" t="s">
        <v>160</v>
      </c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customHeight="1">
      <c r="A19" s="13" t="s">
        <v>19</v>
      </c>
      <c r="B19" s="13" t="s">
        <v>161</v>
      </c>
      <c r="C19" s="15">
        <v>7285.9135239999996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customHeight="1">
      <c r="A20" s="13" t="s">
        <v>119</v>
      </c>
      <c r="B20" s="13" t="s">
        <v>162</v>
      </c>
      <c r="C20" s="15">
        <v>105.3090515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customHeight="1">
      <c r="A21" s="13" t="s">
        <v>128</v>
      </c>
      <c r="B21" s="13" t="s">
        <v>163</v>
      </c>
      <c r="C21" s="15">
        <v>126.61580650000001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customHeight="1">
      <c r="A22" s="13" t="s">
        <v>102</v>
      </c>
      <c r="B22" s="13" t="s">
        <v>164</v>
      </c>
      <c r="C22" s="15">
        <v>603.6429564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0.25" customHeight="1">
      <c r="A23" s="13" t="s">
        <v>51</v>
      </c>
      <c r="B23" s="13" t="s">
        <v>165</v>
      </c>
      <c r="C23" s="15">
        <v>5536.4985239999996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0.25" customHeight="1">
      <c r="A24" s="13" t="s">
        <v>32</v>
      </c>
      <c r="B24" s="13" t="s">
        <v>166</v>
      </c>
      <c r="C24" s="15">
        <v>23151.54592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0.25" customHeight="1">
      <c r="A25" s="13" t="s">
        <v>167</v>
      </c>
      <c r="B25" s="13" t="s">
        <v>168</v>
      </c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0.25" customHeight="1">
      <c r="A26" s="13" t="s">
        <v>69</v>
      </c>
      <c r="B26" s="13" t="s">
        <v>169</v>
      </c>
      <c r="C26" s="15">
        <v>3773.0880099999999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0.25" customHeight="1">
      <c r="A27" s="13" t="s">
        <v>66</v>
      </c>
      <c r="B27" s="13" t="s">
        <v>170</v>
      </c>
      <c r="C27" s="15">
        <v>3902.7658110000002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0.25" customHeight="1">
      <c r="A28" s="13" t="s">
        <v>171</v>
      </c>
      <c r="B28" s="13" t="s">
        <v>172</v>
      </c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0.25" customHeight="1">
      <c r="A29" s="13" t="s">
        <v>173</v>
      </c>
      <c r="B29" s="13" t="s">
        <v>174</v>
      </c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0.25" customHeight="1">
      <c r="A30" s="13" t="s">
        <v>90</v>
      </c>
      <c r="B30" s="13" t="s">
        <v>175</v>
      </c>
      <c r="C30" s="15">
        <v>859.63961380000001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0.25" customHeight="1">
      <c r="A31" s="13" t="s">
        <v>63</v>
      </c>
      <c r="B31" s="13" t="s">
        <v>176</v>
      </c>
      <c r="C31" s="15">
        <v>2787.7608959999998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0.25" customHeight="1">
      <c r="A32" s="13" t="s">
        <v>177</v>
      </c>
      <c r="B32" s="13" t="s">
        <v>178</v>
      </c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0.25" customHeight="1">
      <c r="A33" s="13" t="s">
        <v>26</v>
      </c>
      <c r="B33" s="13" t="s">
        <v>179</v>
      </c>
      <c r="C33" s="15">
        <v>11197.48776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0.25" customHeight="1">
      <c r="A34" s="13" t="s">
        <v>180</v>
      </c>
      <c r="B34" s="13" t="s">
        <v>181</v>
      </c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0.25" customHeight="1">
      <c r="A35" s="13" t="s">
        <v>65</v>
      </c>
      <c r="B35" s="13" t="s">
        <v>182</v>
      </c>
      <c r="C35" s="15">
        <v>1590.234322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0.25" customHeight="1">
      <c r="A36" s="13" t="s">
        <v>183</v>
      </c>
      <c r="B36" s="13" t="s">
        <v>184</v>
      </c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0.25" customHeight="1">
      <c r="A37" s="13" t="s">
        <v>15</v>
      </c>
      <c r="B37" s="13" t="s">
        <v>185</v>
      </c>
      <c r="C37" s="15">
        <v>14907.077869999999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0.25" customHeight="1">
      <c r="A38" s="13" t="s">
        <v>186</v>
      </c>
      <c r="B38" s="13" t="s">
        <v>187</v>
      </c>
      <c r="C38" s="15">
        <v>4545.6130219999995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0.25" customHeight="1">
      <c r="A39" s="13" t="s">
        <v>9</v>
      </c>
      <c r="B39" s="13" t="s">
        <v>188</v>
      </c>
      <c r="C39" s="15">
        <v>7422.8491270000004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0.25" customHeight="1">
      <c r="A40" s="13" t="s">
        <v>189</v>
      </c>
      <c r="B40" s="13" t="s">
        <v>190</v>
      </c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0.25" customHeight="1">
      <c r="A41" s="13" t="s">
        <v>50</v>
      </c>
      <c r="B41" s="13" t="s">
        <v>191</v>
      </c>
      <c r="C41" s="15">
        <v>4405.8631100000002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0.25" customHeight="1">
      <c r="A42" s="13" t="s">
        <v>54</v>
      </c>
      <c r="B42" s="13" t="s">
        <v>192</v>
      </c>
      <c r="C42" s="15">
        <v>6112.1355359999998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0.25" customHeight="1">
      <c r="A43" s="13" t="s">
        <v>107</v>
      </c>
      <c r="B43" s="13" t="s">
        <v>193</v>
      </c>
      <c r="C43" s="15">
        <v>329.56076130000002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0.25" customHeight="1">
      <c r="A44" s="13" t="s">
        <v>114</v>
      </c>
      <c r="B44" s="13" t="s">
        <v>194</v>
      </c>
      <c r="C44" s="15">
        <v>222.9237162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0.25" customHeight="1">
      <c r="A45" s="13" t="s">
        <v>129</v>
      </c>
      <c r="B45" s="13" t="s">
        <v>195</v>
      </c>
      <c r="C45" s="15">
        <v>130.66793150000001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0.25" customHeight="1">
      <c r="A46" s="13" t="s">
        <v>103</v>
      </c>
      <c r="B46" s="13" t="s">
        <v>196</v>
      </c>
      <c r="C46" s="15">
        <v>305.87708179999998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0.25" customHeight="1">
      <c r="A47" s="13" t="s">
        <v>75</v>
      </c>
      <c r="B47" s="13" t="s">
        <v>197</v>
      </c>
      <c r="C47" s="15">
        <v>1528.0854609999999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0.25" customHeight="1">
      <c r="A48" s="13" t="s">
        <v>198</v>
      </c>
      <c r="B48" s="13" t="s">
        <v>199</v>
      </c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0.25" customHeight="1">
      <c r="A49" s="13" t="s">
        <v>200</v>
      </c>
      <c r="B49" s="13" t="s">
        <v>201</v>
      </c>
      <c r="C49" s="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0.25" customHeight="1">
      <c r="A50" s="13" t="s">
        <v>53</v>
      </c>
      <c r="B50" s="13" t="s">
        <v>202</v>
      </c>
      <c r="C50" s="15">
        <v>2142.9562369999999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0.25" customHeight="1">
      <c r="A51" s="13" t="s">
        <v>203</v>
      </c>
      <c r="B51" s="13" t="s">
        <v>204</v>
      </c>
      <c r="C51" s="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0.25" customHeight="1">
      <c r="A52" s="13" t="s">
        <v>205</v>
      </c>
      <c r="B52" s="13" t="s">
        <v>206</v>
      </c>
      <c r="C52" s="15">
        <v>1346.766946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0.25" customHeight="1">
      <c r="A53" s="13" t="s">
        <v>207</v>
      </c>
      <c r="B53" s="13" t="s">
        <v>208</v>
      </c>
      <c r="C53" s="15">
        <v>5028.6653489999999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0.25" customHeight="1">
      <c r="A54" s="13" t="s">
        <v>209</v>
      </c>
      <c r="B54" s="13" t="s">
        <v>210</v>
      </c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0.25" customHeight="1">
      <c r="A55" s="13" t="s">
        <v>31</v>
      </c>
      <c r="B55" s="13" t="s">
        <v>211</v>
      </c>
      <c r="C55" s="15">
        <v>3848.6671620000002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0.25" customHeight="1">
      <c r="A56" s="13" t="s">
        <v>36</v>
      </c>
      <c r="B56" s="13" t="s">
        <v>212</v>
      </c>
      <c r="C56" s="15">
        <v>6363.0293439999996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0.25" customHeight="1">
      <c r="A57" s="13" t="s">
        <v>20</v>
      </c>
      <c r="B57" s="13" t="s">
        <v>213</v>
      </c>
      <c r="C57" s="15">
        <v>6316.2757119999997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0.25" customHeight="1">
      <c r="A58" s="13" t="s">
        <v>214</v>
      </c>
      <c r="B58" s="13" t="s">
        <v>215</v>
      </c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0.25" customHeight="1">
      <c r="A59" s="13" t="s">
        <v>216</v>
      </c>
      <c r="B59" s="13" t="s">
        <v>217</v>
      </c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0.25" customHeight="1">
      <c r="A60" s="13" t="s">
        <v>12</v>
      </c>
      <c r="B60" s="13" t="s">
        <v>218</v>
      </c>
      <c r="C60" s="15">
        <v>5847.1596909999998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0.25" customHeight="1">
      <c r="A61" s="13" t="s">
        <v>60</v>
      </c>
      <c r="B61" s="13" t="s">
        <v>219</v>
      </c>
      <c r="C61" s="15">
        <v>1818.670089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0.25" customHeight="1">
      <c r="A62" s="13" t="s">
        <v>85</v>
      </c>
      <c r="B62" s="13" t="s">
        <v>220</v>
      </c>
      <c r="C62" s="15">
        <v>1756.587213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0.25" customHeight="1">
      <c r="A63" s="13" t="s">
        <v>221</v>
      </c>
      <c r="B63" s="13" t="s">
        <v>222</v>
      </c>
      <c r="C63" s="15">
        <v>4635.5207490000003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0.25" customHeight="1">
      <c r="A64" s="13" t="s">
        <v>223</v>
      </c>
      <c r="B64" s="13" t="s">
        <v>224</v>
      </c>
      <c r="C64" s="15">
        <v>1389.197185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0.25" customHeight="1">
      <c r="A65" s="13" t="s">
        <v>225</v>
      </c>
      <c r="B65" s="13" t="s">
        <v>226</v>
      </c>
      <c r="C65" s="15">
        <v>5115.6380589999999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0.25" customHeight="1">
      <c r="A66" s="13" t="s">
        <v>227</v>
      </c>
      <c r="B66" s="13" t="s">
        <v>228</v>
      </c>
      <c r="C66" s="15">
        <v>3128.1597080000001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0.25" customHeight="1">
      <c r="A67" s="13" t="s">
        <v>229</v>
      </c>
      <c r="B67" s="13" t="s">
        <v>230</v>
      </c>
      <c r="C67" s="15">
        <v>5395.8045009999996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0.25" customHeight="1">
      <c r="A68" s="13" t="s">
        <v>78</v>
      </c>
      <c r="B68" s="13" t="s">
        <v>231</v>
      </c>
      <c r="C68" s="15">
        <v>1589.5513759999999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0.25" customHeight="1">
      <c r="A69" s="13" t="s">
        <v>232</v>
      </c>
      <c r="B69" s="13" t="s">
        <v>233</v>
      </c>
      <c r="C69" s="15">
        <v>1477.9487340000001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0.25" customHeight="1">
      <c r="A70" s="13" t="s">
        <v>234</v>
      </c>
      <c r="B70" s="13" t="s">
        <v>235</v>
      </c>
      <c r="C70" s="15">
        <v>6104.3195109999997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0.25" customHeight="1">
      <c r="A71" s="13" t="s">
        <v>236</v>
      </c>
      <c r="B71" s="13" t="s">
        <v>237</v>
      </c>
      <c r="C71" s="15">
        <v>118.78759220000001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0.25" customHeight="1">
      <c r="A72" s="13" t="s">
        <v>33</v>
      </c>
      <c r="B72" s="13" t="s">
        <v>238</v>
      </c>
      <c r="C72" s="15">
        <v>5179.7696329999999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0.25" customHeight="1">
      <c r="A73" s="13" t="s">
        <v>35</v>
      </c>
      <c r="B73" s="13" t="s">
        <v>239</v>
      </c>
      <c r="C73" s="15">
        <v>6464.0728330000002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0.25" customHeight="1">
      <c r="A74" s="13" t="s">
        <v>123</v>
      </c>
      <c r="B74" s="13" t="s">
        <v>240</v>
      </c>
      <c r="C74" s="15">
        <v>95.649943759999999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0.25" customHeight="1">
      <c r="A75" s="13" t="s">
        <v>241</v>
      </c>
      <c r="B75" s="13" t="s">
        <v>242</v>
      </c>
      <c r="C75" s="15">
        <v>5944.8504240000002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0.25" customHeight="1">
      <c r="A76" s="13" t="s">
        <v>243</v>
      </c>
      <c r="B76" s="13" t="s">
        <v>244</v>
      </c>
      <c r="C76" s="15">
        <v>439.67330099999998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0.25" customHeight="1">
      <c r="A77" s="13" t="s">
        <v>21</v>
      </c>
      <c r="B77" s="13" t="s">
        <v>245</v>
      </c>
      <c r="C77" s="15">
        <v>14738.19974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0.25" customHeight="1">
      <c r="A78" s="13" t="s">
        <v>246</v>
      </c>
      <c r="B78" s="13" t="s">
        <v>247</v>
      </c>
      <c r="C78" s="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0.25" customHeight="1">
      <c r="A79" s="13" t="s">
        <v>24</v>
      </c>
      <c r="B79" s="13" t="s">
        <v>248</v>
      </c>
      <c r="C79" s="15">
        <v>6649.3893179999995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0.25" customHeight="1">
      <c r="A80" s="13" t="s">
        <v>249</v>
      </c>
      <c r="B80" s="13" t="s">
        <v>250</v>
      </c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0.25" customHeight="1">
      <c r="A81" s="13" t="s">
        <v>251</v>
      </c>
      <c r="B81" s="13" t="s">
        <v>252</v>
      </c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0.25" customHeight="1">
      <c r="A82" s="13" t="s">
        <v>64</v>
      </c>
      <c r="B82" s="13" t="s">
        <v>253</v>
      </c>
      <c r="C82" s="15">
        <v>1050.7058119999999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0.25" customHeight="1">
      <c r="A83" s="13" t="s">
        <v>23</v>
      </c>
      <c r="B83" s="13" t="s">
        <v>254</v>
      </c>
      <c r="C83" s="15">
        <v>4316.5197330000001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0.25" customHeight="1">
      <c r="A84" s="13" t="s">
        <v>74</v>
      </c>
      <c r="B84" s="13" t="s">
        <v>255</v>
      </c>
      <c r="C84" s="15">
        <v>3682.960979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0.25" customHeight="1">
      <c r="A85" s="13" t="s">
        <v>110</v>
      </c>
      <c r="B85" s="13" t="s">
        <v>256</v>
      </c>
      <c r="C85" s="15">
        <v>552.50282119999997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0.25" customHeight="1">
      <c r="A86" s="13" t="s">
        <v>257</v>
      </c>
      <c r="B86" s="13" t="s">
        <v>258</v>
      </c>
      <c r="C86" s="15">
        <v>4812.6778160000003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0.25" customHeight="1">
      <c r="A87" s="13" t="s">
        <v>259</v>
      </c>
      <c r="B87" s="13" t="s">
        <v>260</v>
      </c>
      <c r="C87" s="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0.25" customHeight="1">
      <c r="A88" s="13" t="s">
        <v>261</v>
      </c>
      <c r="B88" s="13" t="s">
        <v>262</v>
      </c>
      <c r="C88" s="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0.25" customHeight="1">
      <c r="A89" s="13" t="s">
        <v>263</v>
      </c>
      <c r="B89" s="13" t="s">
        <v>264</v>
      </c>
      <c r="C89" s="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0.25" customHeight="1">
      <c r="A90" s="13" t="s">
        <v>71</v>
      </c>
      <c r="B90" s="13" t="s">
        <v>265</v>
      </c>
      <c r="C90" s="15">
        <v>745.19903859999999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0.25" customHeight="1">
      <c r="A91" s="13" t="s">
        <v>41</v>
      </c>
      <c r="B91" s="13" t="s">
        <v>266</v>
      </c>
      <c r="C91" s="15">
        <v>4827.7828570000001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0.25" customHeight="1">
      <c r="A92" s="13" t="s">
        <v>267</v>
      </c>
      <c r="B92" s="13" t="s">
        <v>268</v>
      </c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0.25" customHeight="1">
      <c r="A93" s="13" t="s">
        <v>269</v>
      </c>
      <c r="B93" s="13" t="s">
        <v>270</v>
      </c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0.25" customHeight="1">
      <c r="A94" s="13" t="s">
        <v>82</v>
      </c>
      <c r="B94" s="13" t="s">
        <v>271</v>
      </c>
      <c r="C94" s="15">
        <v>670.61197249999998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0.25" customHeight="1">
      <c r="A95" s="13" t="s">
        <v>272</v>
      </c>
      <c r="B95" s="13" t="s">
        <v>273</v>
      </c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0.25" customHeight="1">
      <c r="A96" s="13" t="s">
        <v>274</v>
      </c>
      <c r="B96" s="13" t="s">
        <v>275</v>
      </c>
      <c r="C96" s="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0.25" customHeight="1">
      <c r="A97" s="13" t="s">
        <v>276</v>
      </c>
      <c r="B97" s="13" t="s">
        <v>277</v>
      </c>
      <c r="C97" s="15">
        <v>8849.939934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0.25" customHeight="1">
      <c r="A98" s="13" t="s">
        <v>278</v>
      </c>
      <c r="B98" s="13" t="s">
        <v>279</v>
      </c>
      <c r="C98" s="15">
        <v>6423.2722119999999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0.25" customHeight="1">
      <c r="A99" s="13" t="s">
        <v>101</v>
      </c>
      <c r="B99" s="13" t="s">
        <v>280</v>
      </c>
      <c r="C99" s="15">
        <v>757.08112640000002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0.25" customHeight="1">
      <c r="A100" s="13" t="s">
        <v>281</v>
      </c>
      <c r="B100" s="13" t="s">
        <v>282</v>
      </c>
      <c r="C100" s="15">
        <v>215.00420819999999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0.25" customHeight="1">
      <c r="A101" s="13" t="s">
        <v>45</v>
      </c>
      <c r="B101" s="13" t="s">
        <v>283</v>
      </c>
      <c r="C101" s="15">
        <v>4475.5204130000002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0.25" customHeight="1">
      <c r="A102" s="13" t="s">
        <v>112</v>
      </c>
      <c r="B102" s="13" t="s">
        <v>284</v>
      </c>
      <c r="C102" s="15">
        <v>76.236964299999997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0.25" customHeight="1">
      <c r="A103" s="13" t="s">
        <v>46</v>
      </c>
      <c r="B103" s="13" t="s">
        <v>285</v>
      </c>
      <c r="C103" s="15">
        <v>4702.9309720000001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0.25" customHeight="1">
      <c r="A104" s="13" t="s">
        <v>286</v>
      </c>
      <c r="B104" s="13" t="s">
        <v>287</v>
      </c>
      <c r="C104" s="15">
        <v>3192.7056170000001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0.25" customHeight="1">
      <c r="A105" s="13" t="s">
        <v>288</v>
      </c>
      <c r="B105" s="13" t="s">
        <v>289</v>
      </c>
      <c r="C105" s="15">
        <v>2473.3681179999999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0.25" customHeight="1">
      <c r="A106" s="13" t="s">
        <v>290</v>
      </c>
      <c r="B106" s="13" t="s">
        <v>291</v>
      </c>
      <c r="C106" s="15">
        <v>369.48253469999997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0.25" customHeight="1">
      <c r="A107" s="13" t="s">
        <v>292</v>
      </c>
      <c r="B107" s="13" t="s">
        <v>293</v>
      </c>
      <c r="C107" s="15">
        <v>424.2786681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0.25" customHeight="1">
      <c r="A108" s="13" t="s">
        <v>86</v>
      </c>
      <c r="B108" s="13" t="s">
        <v>294</v>
      </c>
      <c r="C108" s="15">
        <v>1330.9876839999999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0.25" customHeight="1">
      <c r="A109" s="13" t="s">
        <v>295</v>
      </c>
      <c r="B109" s="13" t="s">
        <v>296</v>
      </c>
      <c r="C109" s="15">
        <v>336.08413230000002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0.25" customHeight="1">
      <c r="A110" s="13" t="s">
        <v>297</v>
      </c>
      <c r="B110" s="13" t="s">
        <v>298</v>
      </c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0.25" customHeight="1">
      <c r="A111" s="13" t="s">
        <v>106</v>
      </c>
      <c r="B111" s="13" t="s">
        <v>299</v>
      </c>
      <c r="C111" s="15">
        <v>1085.3352090000001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0.25" customHeight="1">
      <c r="A112" s="13" t="s">
        <v>300</v>
      </c>
      <c r="B112" s="13" t="s">
        <v>301</v>
      </c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0.25" customHeight="1">
      <c r="A113" s="13" t="s">
        <v>8</v>
      </c>
      <c r="B113" s="13" t="s">
        <v>302</v>
      </c>
      <c r="C113" s="15">
        <v>6107.0403900000001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0.25" customHeight="1">
      <c r="A114" s="13" t="s">
        <v>87</v>
      </c>
      <c r="B114" s="13" t="s">
        <v>303</v>
      </c>
      <c r="C114" s="15">
        <v>3695.725066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0.25" customHeight="1">
      <c r="A115" s="13" t="s">
        <v>77</v>
      </c>
      <c r="B115" s="13" t="s">
        <v>304</v>
      </c>
      <c r="C115" s="15">
        <v>1373.116483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0.25" customHeight="1">
      <c r="A116" s="13" t="s">
        <v>305</v>
      </c>
      <c r="B116" s="13" t="s">
        <v>306</v>
      </c>
      <c r="C116" s="15">
        <v>51258.759749999997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0.25" customHeight="1">
      <c r="A117" s="13" t="s">
        <v>16</v>
      </c>
      <c r="B117" s="13" t="s">
        <v>307</v>
      </c>
      <c r="C117" s="15">
        <v>6842.7936179999997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0.25" customHeight="1">
      <c r="A118" s="13" t="s">
        <v>28</v>
      </c>
      <c r="B118" s="13" t="s">
        <v>308</v>
      </c>
      <c r="C118" s="15">
        <v>5215.6901209999996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0.25" customHeight="1">
      <c r="A119" s="13" t="s">
        <v>309</v>
      </c>
      <c r="B119" s="13" t="s">
        <v>310</v>
      </c>
      <c r="C119" s="15">
        <v>1121.816998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0.25" customHeight="1">
      <c r="A120" s="13" t="s">
        <v>89</v>
      </c>
      <c r="B120" s="13" t="s">
        <v>311</v>
      </c>
      <c r="C120" s="15">
        <v>1790.647571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0.25" customHeight="1">
      <c r="A121" s="13" t="s">
        <v>30</v>
      </c>
      <c r="B121" s="13" t="s">
        <v>312</v>
      </c>
      <c r="C121" s="15">
        <v>7800.0806060000004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0.25" customHeight="1">
      <c r="A122" s="13" t="s">
        <v>57</v>
      </c>
      <c r="B122" s="13" t="s">
        <v>313</v>
      </c>
      <c r="C122" s="15">
        <v>5271.5278850000004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0.25" customHeight="1">
      <c r="A123" s="13" t="s">
        <v>111</v>
      </c>
      <c r="B123" s="13" t="s">
        <v>314</v>
      </c>
      <c r="C123" s="15">
        <v>189.35546540000001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0.25" customHeight="1">
      <c r="A124" s="13" t="s">
        <v>113</v>
      </c>
      <c r="B124" s="13" t="s">
        <v>315</v>
      </c>
      <c r="C124" s="15">
        <v>1971.263989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0.25" customHeight="1">
      <c r="A125" s="13" t="s">
        <v>108</v>
      </c>
      <c r="B125" s="13" t="s">
        <v>316</v>
      </c>
      <c r="C125" s="15">
        <v>813.63937710000005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0.25" customHeight="1">
      <c r="A126" s="13" t="s">
        <v>317</v>
      </c>
      <c r="B126" s="13" t="s">
        <v>318</v>
      </c>
      <c r="C126" s="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0.25" customHeight="1">
      <c r="A127" s="13" t="s">
        <v>319</v>
      </c>
      <c r="B127" s="13" t="s">
        <v>320</v>
      </c>
      <c r="C127" s="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0.25" customHeight="1">
      <c r="A128" s="13" t="s">
        <v>29</v>
      </c>
      <c r="B128" s="13" t="s">
        <v>321</v>
      </c>
      <c r="C128" s="15">
        <v>11705.630510000001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0.25" customHeight="1">
      <c r="A129" s="13" t="s">
        <v>25</v>
      </c>
      <c r="B129" s="13" t="s">
        <v>322</v>
      </c>
      <c r="C129" s="15">
        <v>16570.569869999999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0.25" customHeight="1">
      <c r="A130" s="13" t="s">
        <v>323</v>
      </c>
      <c r="B130" s="13" t="s">
        <v>324</v>
      </c>
      <c r="C130" s="15">
        <v>2216.1763820000001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0.25" customHeight="1">
      <c r="A131" s="13" t="s">
        <v>325</v>
      </c>
      <c r="B131" s="13" t="s">
        <v>326</v>
      </c>
      <c r="C131" s="15">
        <v>1263.658044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0.25" customHeight="1">
      <c r="A132" s="13" t="s">
        <v>96</v>
      </c>
      <c r="B132" s="13" t="s">
        <v>327</v>
      </c>
      <c r="C132" s="15">
        <v>680.65236089999996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0.25" customHeight="1">
      <c r="A133" s="13" t="s">
        <v>328</v>
      </c>
      <c r="B133" s="13" t="s">
        <v>329</v>
      </c>
      <c r="C133" s="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0.25" customHeight="1">
      <c r="A134" s="13" t="s">
        <v>80</v>
      </c>
      <c r="B134" s="13" t="s">
        <v>330</v>
      </c>
      <c r="C134" s="15">
        <v>3979.0664339999998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0.25" customHeight="1">
      <c r="A135" s="13" t="s">
        <v>331</v>
      </c>
      <c r="B135" s="13" t="s">
        <v>332</v>
      </c>
      <c r="C135" s="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0.25" customHeight="1">
      <c r="A136" s="13" t="s">
        <v>333</v>
      </c>
      <c r="B136" s="13" t="s">
        <v>334</v>
      </c>
      <c r="C136" s="15">
        <v>2297.7318580000001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0.25" customHeight="1">
      <c r="A137" s="13" t="s">
        <v>335</v>
      </c>
      <c r="B137" s="13" t="s">
        <v>336</v>
      </c>
      <c r="C137" s="15">
        <v>280.31896590000002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0.25" customHeight="1">
      <c r="A138" s="13" t="s">
        <v>337</v>
      </c>
      <c r="B138" s="13" t="s">
        <v>338</v>
      </c>
      <c r="C138" s="15">
        <v>220.58855059999999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0.25" customHeight="1">
      <c r="A139" s="13" t="s">
        <v>339</v>
      </c>
      <c r="B139" s="13" t="s">
        <v>340</v>
      </c>
      <c r="C139" s="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0.25" customHeight="1">
      <c r="A140" s="13" t="s">
        <v>99</v>
      </c>
      <c r="B140" s="13" t="s">
        <v>341</v>
      </c>
      <c r="C140" s="15">
        <v>657.45457820000001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0.25" customHeight="1">
      <c r="A141" s="13" t="s">
        <v>342</v>
      </c>
      <c r="B141" s="13" t="s">
        <v>343</v>
      </c>
      <c r="C141" s="15">
        <v>904.23689179999997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0.25" customHeight="1">
      <c r="A142" s="13" t="s">
        <v>344</v>
      </c>
      <c r="B142" s="13" t="s">
        <v>345</v>
      </c>
      <c r="C142" s="15">
        <v>2380.2516489999998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0.25" customHeight="1">
      <c r="A143" s="13" t="s">
        <v>346</v>
      </c>
      <c r="B143" s="13" t="s">
        <v>347</v>
      </c>
      <c r="C143" s="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0.25" customHeight="1">
      <c r="A144" s="13" t="s">
        <v>348</v>
      </c>
      <c r="B144" s="13" t="s">
        <v>349</v>
      </c>
      <c r="C144" s="15">
        <v>5207.4702639999996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0.25" customHeight="1">
      <c r="A145" s="13" t="s">
        <v>37</v>
      </c>
      <c r="B145" s="13" t="s">
        <v>350</v>
      </c>
      <c r="C145" s="15">
        <v>4416.170282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0.25" customHeight="1">
      <c r="A146" s="13" t="s">
        <v>351</v>
      </c>
      <c r="B146" s="13" t="s">
        <v>352</v>
      </c>
      <c r="C146" s="15">
        <v>11676.565559999999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0.25" customHeight="1">
      <c r="A147" s="13" t="s">
        <v>43</v>
      </c>
      <c r="B147" s="13" t="s">
        <v>353</v>
      </c>
      <c r="C147" s="15">
        <v>3714.5169449999999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0.25" customHeight="1">
      <c r="A148" s="13" t="s">
        <v>354</v>
      </c>
      <c r="B148" s="13" t="s">
        <v>355</v>
      </c>
      <c r="C148" s="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0.25" customHeight="1">
      <c r="A149" s="13" t="s">
        <v>356</v>
      </c>
      <c r="B149" s="13" t="s">
        <v>357</v>
      </c>
      <c r="C149" s="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0.25" customHeight="1">
      <c r="A150" s="13" t="s">
        <v>98</v>
      </c>
      <c r="B150" s="13" t="s">
        <v>358</v>
      </c>
      <c r="C150" s="15">
        <v>978.27258670000003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0.25" customHeight="1">
      <c r="A151" s="13" t="s">
        <v>359</v>
      </c>
      <c r="B151" s="13" t="s">
        <v>360</v>
      </c>
      <c r="C151" s="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0.25" customHeight="1">
      <c r="A152" s="13" t="s">
        <v>81</v>
      </c>
      <c r="B152" s="13" t="s">
        <v>361</v>
      </c>
      <c r="C152" s="15">
        <v>2255.3500800000002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0.25" customHeight="1">
      <c r="A153" s="13" t="s">
        <v>27</v>
      </c>
      <c r="B153" s="13" t="s">
        <v>362</v>
      </c>
      <c r="C153" s="15">
        <v>81.314806869999998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0.25" customHeight="1">
      <c r="A154" s="13" t="s">
        <v>363</v>
      </c>
      <c r="B154" s="13" t="s">
        <v>364</v>
      </c>
      <c r="C154" s="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0.25" customHeight="1">
      <c r="A155" s="13" t="s">
        <v>365</v>
      </c>
      <c r="B155" s="13" t="s">
        <v>366</v>
      </c>
      <c r="C155" s="15">
        <v>2301.9432339999998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0.25" customHeight="1">
      <c r="A156" s="13" t="s">
        <v>56</v>
      </c>
      <c r="B156" s="13" t="s">
        <v>367</v>
      </c>
      <c r="C156" s="15">
        <v>2513.810469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0.25" customHeight="1">
      <c r="A157" s="13" t="s">
        <v>368</v>
      </c>
      <c r="B157" s="13" t="s">
        <v>369</v>
      </c>
      <c r="C157" s="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0.25" customHeight="1">
      <c r="A158" s="13" t="s">
        <v>370</v>
      </c>
      <c r="B158" s="13" t="s">
        <v>371</v>
      </c>
      <c r="C158" s="15">
        <v>2548.816734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0.25" customHeight="1">
      <c r="A159" s="13" t="s">
        <v>70</v>
      </c>
      <c r="B159" s="13" t="s">
        <v>372</v>
      </c>
      <c r="C159" s="15">
        <v>3484.172184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0.25" customHeight="1">
      <c r="A160" s="13" t="s">
        <v>373</v>
      </c>
      <c r="B160" s="13" t="s">
        <v>374</v>
      </c>
      <c r="C160" s="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0.25" customHeight="1">
      <c r="A161" s="13" t="s">
        <v>375</v>
      </c>
      <c r="B161" s="13" t="s">
        <v>376</v>
      </c>
      <c r="C161" s="15">
        <v>5168.3916609999997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0.25" customHeight="1">
      <c r="A162" s="13" t="s">
        <v>377</v>
      </c>
      <c r="B162" s="13" t="s">
        <v>378</v>
      </c>
      <c r="C162" s="15">
        <v>379.9148189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0.25" customHeight="1">
      <c r="A163" s="13" t="s">
        <v>379</v>
      </c>
      <c r="B163" s="13" t="s">
        <v>380</v>
      </c>
      <c r="C163" s="15">
        <v>1336.3989449999999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0.25" customHeight="1">
      <c r="A164" s="13" t="s">
        <v>62</v>
      </c>
      <c r="B164" s="13" t="s">
        <v>381</v>
      </c>
      <c r="C164" s="15">
        <v>4345.7971649999999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0.25" customHeight="1">
      <c r="A165" s="13" t="s">
        <v>84</v>
      </c>
      <c r="B165" s="13" t="s">
        <v>382</v>
      </c>
      <c r="C165" s="15">
        <v>2545.6148790000002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0.25" customHeight="1">
      <c r="A166" s="13" t="s">
        <v>383</v>
      </c>
      <c r="B166" s="13" t="s">
        <v>384</v>
      </c>
      <c r="C166" s="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0.25" customHeight="1">
      <c r="A167" s="13" t="s">
        <v>131</v>
      </c>
      <c r="B167" s="13" t="s">
        <v>385</v>
      </c>
      <c r="C167" s="15">
        <v>397.688087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0.25" customHeight="1">
      <c r="A168" s="13" t="s">
        <v>386</v>
      </c>
      <c r="B168" s="13" t="s">
        <v>387</v>
      </c>
      <c r="C168" s="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0.25" customHeight="1">
      <c r="A169" s="13" t="s">
        <v>59</v>
      </c>
      <c r="B169" s="13" t="s">
        <v>388</v>
      </c>
      <c r="C169" s="15">
        <v>2334.2149009999998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0.25" customHeight="1">
      <c r="A170" s="13" t="s">
        <v>389</v>
      </c>
      <c r="B170" s="13" t="s">
        <v>390</v>
      </c>
      <c r="C170" s="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0.25" customHeight="1">
      <c r="A171" s="13" t="s">
        <v>55</v>
      </c>
      <c r="B171" s="13" t="s">
        <v>391</v>
      </c>
      <c r="C171" s="15">
        <v>5240.9689060000001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0.25" customHeight="1">
      <c r="A172" s="13" t="s">
        <v>392</v>
      </c>
      <c r="B172" s="13" t="s">
        <v>393</v>
      </c>
      <c r="C172" s="15">
        <v>13170.58354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0.25" customHeight="1">
      <c r="A173" s="13" t="s">
        <v>88</v>
      </c>
      <c r="B173" s="13" t="s">
        <v>394</v>
      </c>
      <c r="C173" s="15">
        <v>1218.827669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0.25" customHeight="1">
      <c r="A174" s="13" t="s">
        <v>395</v>
      </c>
      <c r="B174" s="13" t="s">
        <v>396</v>
      </c>
      <c r="C174" s="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0.25" customHeight="1">
      <c r="A175" s="13" t="s">
        <v>130</v>
      </c>
      <c r="B175" s="13" t="s">
        <v>397</v>
      </c>
      <c r="C175" s="15">
        <v>60.011125960000001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0.25" customHeight="1">
      <c r="A176" s="13" t="s">
        <v>398</v>
      </c>
      <c r="B176" s="13" t="s">
        <v>399</v>
      </c>
      <c r="C176" s="15">
        <v>139.21521519999999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0.25" customHeight="1">
      <c r="A177" s="13" t="s">
        <v>109</v>
      </c>
      <c r="B177" s="13" t="s">
        <v>400</v>
      </c>
      <c r="C177" s="15">
        <v>656.54838299999994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0.25" customHeight="1">
      <c r="A178" s="13" t="s">
        <v>14</v>
      </c>
      <c r="B178" s="13" t="s">
        <v>401</v>
      </c>
      <c r="C178" s="15">
        <v>6352.1899519999997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0.25" customHeight="1">
      <c r="A179" s="13" t="s">
        <v>7</v>
      </c>
      <c r="B179" s="13" t="s">
        <v>402</v>
      </c>
      <c r="C179" s="15">
        <v>23373.47106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0.25" customHeight="1">
      <c r="A180" s="13" t="s">
        <v>118</v>
      </c>
      <c r="B180" s="13" t="s">
        <v>403</v>
      </c>
      <c r="C180" s="15">
        <v>321.38178959999999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0.25" customHeight="1">
      <c r="A181" s="13" t="s">
        <v>404</v>
      </c>
      <c r="B181" s="13" t="s">
        <v>405</v>
      </c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0.25" customHeight="1">
      <c r="A182" s="13" t="s">
        <v>22</v>
      </c>
      <c r="B182" s="13" t="s">
        <v>406</v>
      </c>
      <c r="C182" s="15">
        <v>8144.7153509999998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0.25" customHeight="1">
      <c r="A183" s="13" t="s">
        <v>407</v>
      </c>
      <c r="B183" s="13" t="s">
        <v>408</v>
      </c>
      <c r="C183" s="15">
        <v>7768.4024630000004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0.25" customHeight="1">
      <c r="A184" s="13" t="s">
        <v>39</v>
      </c>
      <c r="B184" s="13" t="s">
        <v>409</v>
      </c>
      <c r="C184" s="15">
        <v>8092.6365889999997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0.25" customHeight="1">
      <c r="A185" s="13" t="s">
        <v>410</v>
      </c>
      <c r="B185" s="13" t="s">
        <v>411</v>
      </c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0.25" customHeight="1">
      <c r="A186" s="13" t="s">
        <v>116</v>
      </c>
      <c r="B186" s="13" t="s">
        <v>412</v>
      </c>
      <c r="C186" s="15">
        <v>517.07285639999998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0.25" customHeight="1">
      <c r="A187" s="13" t="s">
        <v>47</v>
      </c>
      <c r="B187" s="13" t="s">
        <v>413</v>
      </c>
      <c r="C187" s="15">
        <v>2546.3708310000002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0.25" customHeight="1">
      <c r="A188" s="13" t="s">
        <v>72</v>
      </c>
      <c r="B188" s="13" t="s">
        <v>414</v>
      </c>
      <c r="C188" s="15">
        <v>1568.3140579999999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0.25" customHeight="1">
      <c r="A189" s="13" t="s">
        <v>97</v>
      </c>
      <c r="B189" s="13" t="s">
        <v>415</v>
      </c>
      <c r="C189" s="15">
        <v>884.84697730000005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0.25" customHeight="1">
      <c r="A190" s="13" t="s">
        <v>416</v>
      </c>
      <c r="B190" s="13" t="s">
        <v>417</v>
      </c>
      <c r="C190" s="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0.25" customHeight="1">
      <c r="A191" s="13" t="s">
        <v>418</v>
      </c>
      <c r="B191" s="13" t="s">
        <v>419</v>
      </c>
      <c r="C191" s="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0.25" customHeight="1">
      <c r="A192" s="13" t="s">
        <v>44</v>
      </c>
      <c r="B192" s="13" t="s">
        <v>420</v>
      </c>
      <c r="C192" s="15">
        <v>4552.8255600000002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0.25" customHeight="1">
      <c r="A193" s="13" t="s">
        <v>421</v>
      </c>
      <c r="B193" s="13" t="s">
        <v>422</v>
      </c>
      <c r="C193" s="15">
        <v>246.8947685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0.25" customHeight="1">
      <c r="A194" s="13" t="s">
        <v>423</v>
      </c>
      <c r="B194" s="13" t="s">
        <v>424</v>
      </c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0.25" customHeight="1">
      <c r="A195" s="13" t="s">
        <v>425</v>
      </c>
      <c r="B195" s="13" t="s">
        <v>426</v>
      </c>
      <c r="C195" s="15">
        <v>832.50898400000005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0.25" customHeight="1">
      <c r="A196" s="13" t="s">
        <v>38</v>
      </c>
      <c r="B196" s="13" t="s">
        <v>427</v>
      </c>
      <c r="C196" s="15">
        <v>5085.2320970000001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0.25" customHeight="1">
      <c r="A197" s="13" t="s">
        <v>79</v>
      </c>
      <c r="B197" s="13" t="s">
        <v>428</v>
      </c>
      <c r="C197" s="15">
        <v>2213.0137810000001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0.25" customHeight="1">
      <c r="A198" s="13" t="s">
        <v>429</v>
      </c>
      <c r="B198" s="13" t="s">
        <v>430</v>
      </c>
      <c r="C198" s="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0.25" customHeight="1">
      <c r="A199" s="13" t="s">
        <v>431</v>
      </c>
      <c r="B199" s="13" t="s">
        <v>432</v>
      </c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0.25" customHeight="1">
      <c r="A200" s="13" t="s">
        <v>433</v>
      </c>
      <c r="B200" s="13" t="s">
        <v>434</v>
      </c>
      <c r="C200" s="15">
        <v>8871.1170910000001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0.25" customHeight="1">
      <c r="A201" s="13" t="s">
        <v>435</v>
      </c>
      <c r="B201" s="13" t="s">
        <v>436</v>
      </c>
      <c r="C201" s="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0.25" customHeight="1">
      <c r="A202" s="13" t="s">
        <v>10</v>
      </c>
      <c r="B202" s="13" t="s">
        <v>437</v>
      </c>
      <c r="C202" s="15">
        <v>19381.086220000001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0.25" customHeight="1">
      <c r="A203" s="13" t="s">
        <v>49</v>
      </c>
      <c r="B203" s="13" t="s">
        <v>438</v>
      </c>
      <c r="C203" s="15">
        <v>2717.536529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0.25" customHeight="1">
      <c r="A204" s="13" t="s">
        <v>48</v>
      </c>
      <c r="B204" s="13" t="s">
        <v>439</v>
      </c>
      <c r="C204" s="15">
        <v>7184.3943049999998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0.25" customHeight="1">
      <c r="A205" s="13" t="s">
        <v>124</v>
      </c>
      <c r="B205" s="13" t="s">
        <v>440</v>
      </c>
      <c r="C205" s="15">
        <v>69.518563799999995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0.25" customHeight="1">
      <c r="A206" s="13" t="s">
        <v>441</v>
      </c>
      <c r="B206" s="13" t="s">
        <v>442</v>
      </c>
      <c r="C206" s="15">
        <v>1016.237555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0.25" customHeight="1">
      <c r="A207" s="13" t="s">
        <v>443</v>
      </c>
      <c r="B207" s="13" t="s">
        <v>444</v>
      </c>
      <c r="C207" s="15">
        <v>11840.60133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0.25" customHeight="1">
      <c r="A208" s="13" t="s">
        <v>122</v>
      </c>
      <c r="B208" s="13" t="s">
        <v>445</v>
      </c>
      <c r="C208" s="15">
        <v>280.62092030000002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0.25" customHeight="1">
      <c r="A209" s="13" t="s">
        <v>115</v>
      </c>
      <c r="B209" s="13" t="s">
        <v>446</v>
      </c>
      <c r="C209" s="15">
        <v>399.52177490000003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0.25" customHeight="1">
      <c r="A210" s="13" t="s">
        <v>447</v>
      </c>
      <c r="B210" s="13" t="s">
        <v>448</v>
      </c>
      <c r="C210" s="15">
        <v>10143.47647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0.25" customHeight="1">
      <c r="A211" s="13" t="s">
        <v>449</v>
      </c>
      <c r="B211" s="13" t="s">
        <v>450</v>
      </c>
      <c r="C211" s="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0.25" customHeight="1">
      <c r="A212" s="13" t="s">
        <v>451</v>
      </c>
      <c r="B212" s="13" t="s">
        <v>452</v>
      </c>
      <c r="C212" s="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0.25" customHeight="1">
      <c r="A213" s="13" t="s">
        <v>83</v>
      </c>
      <c r="B213" s="13" t="s">
        <v>453</v>
      </c>
      <c r="C213" s="15">
        <v>1109.975465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0.25" customHeight="1">
      <c r="A214" s="13" t="s">
        <v>454</v>
      </c>
      <c r="B214" s="13" t="s">
        <v>455</v>
      </c>
      <c r="C214" s="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0.25" customHeight="1">
      <c r="A215" s="13" t="s">
        <v>456</v>
      </c>
      <c r="B215" s="13" t="s">
        <v>457</v>
      </c>
      <c r="C215" s="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0.25" customHeight="1">
      <c r="A216" s="13" t="s">
        <v>61</v>
      </c>
      <c r="B216" s="13" t="s">
        <v>458</v>
      </c>
      <c r="C216" s="15">
        <v>5113.7010730000002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0.25" customHeight="1">
      <c r="A217" s="13" t="s">
        <v>459</v>
      </c>
      <c r="B217" s="13" t="s">
        <v>460</v>
      </c>
      <c r="C217" s="15">
        <v>421.70235980000001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0.25" customHeight="1">
      <c r="A218" s="13" t="s">
        <v>461</v>
      </c>
      <c r="B218" s="13" t="s">
        <v>462</v>
      </c>
      <c r="C218" s="15">
        <v>48.905847350000002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0.25" customHeight="1">
      <c r="A219" s="13" t="s">
        <v>463</v>
      </c>
      <c r="B219" s="13" t="s">
        <v>464</v>
      </c>
      <c r="C219" s="15">
        <v>384.80661809999998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0.25" customHeight="1">
      <c r="A220" s="13" t="s">
        <v>465</v>
      </c>
      <c r="B220" s="13" t="s">
        <v>466</v>
      </c>
      <c r="C220" s="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0.25" customHeight="1">
      <c r="A221" s="13" t="s">
        <v>467</v>
      </c>
      <c r="B221" s="13" t="s">
        <v>468</v>
      </c>
      <c r="C221" s="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0.25" customHeight="1">
      <c r="A222" s="13" t="s">
        <v>469</v>
      </c>
      <c r="B222" s="13" t="s">
        <v>470</v>
      </c>
      <c r="C222" s="15">
        <v>2955.883202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0.25" customHeight="1">
      <c r="A223" s="13" t="s">
        <v>40</v>
      </c>
      <c r="B223" s="13" t="s">
        <v>471</v>
      </c>
      <c r="C223" s="15">
        <v>4957.7005719999997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0.25" customHeight="1">
      <c r="A224" s="13" t="s">
        <v>34</v>
      </c>
      <c r="B224" s="13" t="s">
        <v>472</v>
      </c>
      <c r="C224" s="15">
        <v>6731.2918659999996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0.25" customHeight="1">
      <c r="A225" s="13" t="s">
        <v>17</v>
      </c>
      <c r="B225" s="13" t="s">
        <v>473</v>
      </c>
      <c r="C225" s="15">
        <v>12418.39732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0.25" customHeight="1">
      <c r="A226" s="13" t="s">
        <v>93</v>
      </c>
      <c r="B226" s="13" t="s">
        <v>474</v>
      </c>
      <c r="C226" s="15">
        <v>1155.1237699999999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0.25" customHeight="1">
      <c r="A227" s="13" t="s">
        <v>475</v>
      </c>
      <c r="B227" s="13" t="s">
        <v>476</v>
      </c>
      <c r="C227" s="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0.25" customHeight="1">
      <c r="A228" s="13" t="s">
        <v>477</v>
      </c>
      <c r="B228" s="13" t="s">
        <v>478</v>
      </c>
      <c r="C228" s="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0.25" customHeight="1">
      <c r="A229" s="13" t="s">
        <v>479</v>
      </c>
      <c r="B229" s="13" t="s">
        <v>480</v>
      </c>
      <c r="C229" s="15">
        <v>850.31844430000001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0.25" customHeight="1">
      <c r="A230" s="13" t="s">
        <v>481</v>
      </c>
      <c r="B230" s="13" t="s">
        <v>482</v>
      </c>
      <c r="C230" s="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0.25" customHeight="1">
      <c r="A231" s="13" t="s">
        <v>125</v>
      </c>
      <c r="B231" s="13" t="s">
        <v>483</v>
      </c>
      <c r="C231" s="15">
        <v>15.55107482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0.25" customHeight="1">
      <c r="A232" s="13" t="s">
        <v>484</v>
      </c>
      <c r="B232" s="13" t="s">
        <v>485</v>
      </c>
      <c r="C232" s="15">
        <v>4683.3599020000001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0.25" customHeight="1">
      <c r="A233" s="13" t="s">
        <v>486</v>
      </c>
      <c r="B233" s="13" t="s">
        <v>487</v>
      </c>
      <c r="C233" s="15">
        <v>4544.748208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0.25" customHeight="1">
      <c r="A234" s="13" t="s">
        <v>127</v>
      </c>
      <c r="B234" s="13" t="s">
        <v>488</v>
      </c>
      <c r="C234" s="15">
        <v>192.85484360000001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0.25" customHeight="1">
      <c r="A235" s="13" t="s">
        <v>73</v>
      </c>
      <c r="B235" s="13" t="s">
        <v>489</v>
      </c>
      <c r="C235" s="15">
        <v>2828.5504900000001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0.25" customHeight="1">
      <c r="A236" s="13" t="s">
        <v>121</v>
      </c>
      <c r="B236" s="13" t="s">
        <v>490</v>
      </c>
      <c r="C236" s="15">
        <v>1475.6111189999999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0.25" customHeight="1">
      <c r="A237" s="13" t="s">
        <v>491</v>
      </c>
      <c r="B237" s="13" t="s">
        <v>492</v>
      </c>
      <c r="C237" s="15">
        <v>2829.2467430000002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0.25" customHeight="1">
      <c r="A238" s="13" t="s">
        <v>493</v>
      </c>
      <c r="B238" s="13" t="s">
        <v>494</v>
      </c>
      <c r="C238" s="15">
        <v>2313.6172790000001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0.25" customHeight="1">
      <c r="A239" s="13" t="s">
        <v>495</v>
      </c>
      <c r="B239" s="13" t="s">
        <v>496</v>
      </c>
      <c r="C239" s="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0.25" customHeight="1">
      <c r="A240" s="13" t="s">
        <v>497</v>
      </c>
      <c r="B240" s="13" t="s">
        <v>498</v>
      </c>
      <c r="C240" s="15">
        <v>1336.3989449999999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0.25" customHeight="1">
      <c r="A241" s="13" t="s">
        <v>499</v>
      </c>
      <c r="B241" s="13" t="s">
        <v>500</v>
      </c>
      <c r="C241" s="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0.25" customHeight="1">
      <c r="A242" s="13" t="s">
        <v>501</v>
      </c>
      <c r="B242" s="13" t="s">
        <v>502</v>
      </c>
      <c r="C242" s="15">
        <v>1016.237555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0.25" customHeight="1">
      <c r="A243" s="13" t="s">
        <v>503</v>
      </c>
      <c r="B243" s="13" t="s">
        <v>504</v>
      </c>
      <c r="C243" s="15">
        <v>384.80661809999998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0.25" customHeight="1">
      <c r="A244" s="13" t="s">
        <v>505</v>
      </c>
      <c r="B244" s="13" t="s">
        <v>506</v>
      </c>
      <c r="C244" s="15">
        <v>6590.9848039999997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0.25" customHeight="1">
      <c r="A245" s="13" t="s">
        <v>94</v>
      </c>
      <c r="B245" s="13" t="s">
        <v>507</v>
      </c>
      <c r="C245" s="15">
        <v>1595.46721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0.25" customHeight="1">
      <c r="A246" s="13" t="s">
        <v>58</v>
      </c>
      <c r="B246" s="13" t="s">
        <v>508</v>
      </c>
      <c r="C246" s="15">
        <v>3554.2281619999999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0.25" customHeight="1">
      <c r="A247" s="13" t="s">
        <v>509</v>
      </c>
      <c r="B247" s="13" t="s">
        <v>510</v>
      </c>
      <c r="C247" s="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0.25" customHeight="1">
      <c r="A248" s="13" t="s">
        <v>120</v>
      </c>
      <c r="B248" s="13" t="s">
        <v>511</v>
      </c>
      <c r="C248" s="15">
        <v>131.64519050000001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0.25" customHeight="1">
      <c r="A249" s="13" t="s">
        <v>126</v>
      </c>
      <c r="B249" s="13" t="s">
        <v>512</v>
      </c>
      <c r="C249" s="15">
        <v>89.848989660000001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0.25" customHeight="1">
      <c r="A250" s="13" t="s">
        <v>91</v>
      </c>
      <c r="B250" s="13" t="s">
        <v>513</v>
      </c>
      <c r="C250" s="15">
        <v>2419.5855240000001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0.25" customHeight="1">
      <c r="A251" s="13" t="s">
        <v>514</v>
      </c>
      <c r="B251" s="13" t="s">
        <v>515</v>
      </c>
      <c r="C251" s="15">
        <v>4312.7508459999999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0.25" customHeight="1">
      <c r="A252" s="13" t="s">
        <v>42</v>
      </c>
      <c r="B252" s="13" t="s">
        <v>516</v>
      </c>
      <c r="C252" s="15">
        <v>3589.8886229999998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0.25" customHeight="1">
      <c r="A253" s="13" t="s">
        <v>11</v>
      </c>
      <c r="B253" s="13" t="s">
        <v>517</v>
      </c>
      <c r="C253" s="15">
        <v>12968.16281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0.25" customHeight="1">
      <c r="A254" s="13" t="s">
        <v>104</v>
      </c>
      <c r="B254" s="13" t="s">
        <v>518</v>
      </c>
      <c r="C254" s="15">
        <v>2094.052326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0.25" customHeight="1">
      <c r="A255" s="13" t="s">
        <v>519</v>
      </c>
      <c r="B255" s="13" t="s">
        <v>520</v>
      </c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0.25" customHeight="1">
      <c r="A256" s="13" t="s">
        <v>100</v>
      </c>
      <c r="B256" s="13" t="s">
        <v>521</v>
      </c>
      <c r="C256" s="15">
        <v>2138.2328590000002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0.25" customHeight="1">
      <c r="A257" s="13" t="s">
        <v>522</v>
      </c>
      <c r="B257" s="13" t="s">
        <v>523</v>
      </c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0.25" customHeight="1">
      <c r="A258" s="13" t="s">
        <v>524</v>
      </c>
      <c r="B258" s="13" t="s">
        <v>525</v>
      </c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0.25" customHeight="1">
      <c r="A259" s="13" t="s">
        <v>92</v>
      </c>
      <c r="B259" s="13" t="s">
        <v>526</v>
      </c>
      <c r="C259" s="15">
        <v>2624.400893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0.25" customHeight="1">
      <c r="A260" s="13" t="s">
        <v>527</v>
      </c>
      <c r="B260" s="13" t="s">
        <v>528</v>
      </c>
      <c r="C260" s="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0.25" customHeight="1">
      <c r="A261" s="13" t="s">
        <v>529</v>
      </c>
      <c r="B261" s="13" t="s">
        <v>530</v>
      </c>
      <c r="C261" s="15">
        <v>3496.5080050000001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0.25" customHeight="1">
      <c r="A262" s="13" t="s">
        <v>531</v>
      </c>
      <c r="B262" s="13" t="s">
        <v>532</v>
      </c>
      <c r="C262" s="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0.25" customHeight="1">
      <c r="A263" s="13" t="s">
        <v>533</v>
      </c>
      <c r="B263" s="13" t="s">
        <v>534</v>
      </c>
      <c r="C263" s="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0.25" customHeight="1">
      <c r="A264" s="13" t="s">
        <v>535</v>
      </c>
      <c r="B264" s="13" t="s">
        <v>536</v>
      </c>
      <c r="C264" s="15">
        <v>93.582701630000003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0.25" customHeight="1">
      <c r="A265" s="13" t="s">
        <v>537</v>
      </c>
      <c r="B265" s="13" t="s">
        <v>538</v>
      </c>
      <c r="C265" s="15">
        <v>3404.6234909999998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0.25" customHeight="1">
      <c r="A266" s="13" t="s">
        <v>117</v>
      </c>
      <c r="B266" s="13" t="s">
        <v>539</v>
      </c>
      <c r="C266" s="15">
        <v>704.81038550000005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0.25" customHeight="1">
      <c r="A267" s="13" t="s">
        <v>105</v>
      </c>
      <c r="B267" s="13" t="s">
        <v>540</v>
      </c>
      <c r="C267" s="15">
        <v>554.4818563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0.25" customHeight="1">
      <c r="A268" s="4"/>
      <c r="B268" s="4"/>
      <c r="C268" s="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0.25" customHeight="1">
      <c r="A269" s="4"/>
      <c r="B269" s="4"/>
      <c r="C269" s="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0.25" customHeight="1">
      <c r="A270" s="4"/>
      <c r="B270" s="4"/>
      <c r="C270" s="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0.25" customHeight="1">
      <c r="A271" s="4"/>
      <c r="B271" s="4"/>
      <c r="C271" s="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0.25" customHeight="1">
      <c r="A272" s="4"/>
      <c r="B272" s="4"/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0.25" customHeight="1">
      <c r="A273" s="4"/>
      <c r="B273" s="4"/>
      <c r="C273" s="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0.25" customHeight="1">
      <c r="A274" s="4"/>
      <c r="B274" s="4"/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0.25" customHeight="1">
      <c r="A275" s="4"/>
      <c r="B275" s="4"/>
      <c r="C275" s="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0.25" customHeight="1">
      <c r="A276" s="4"/>
      <c r="B276" s="4"/>
      <c r="C276" s="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0.25" customHeight="1">
      <c r="A277" s="4"/>
      <c r="B277" s="4"/>
      <c r="C277" s="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0.25" customHeight="1">
      <c r="A278" s="4"/>
      <c r="B278" s="4"/>
      <c r="C278" s="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0.25" customHeight="1">
      <c r="A279" s="4"/>
      <c r="B279" s="4"/>
      <c r="C279" s="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0.25" customHeight="1">
      <c r="A280" s="4"/>
      <c r="B280" s="4"/>
      <c r="C280" s="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0.25" customHeight="1">
      <c r="A281" s="4"/>
      <c r="B281" s="4"/>
      <c r="C281" s="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0.25" customHeight="1">
      <c r="A282" s="4"/>
      <c r="B282" s="4"/>
      <c r="C282" s="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0.25" customHeight="1">
      <c r="A283" s="4"/>
      <c r="B283" s="4"/>
      <c r="C283" s="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0.25" customHeight="1">
      <c r="A284" s="4"/>
      <c r="B284" s="4"/>
      <c r="C284" s="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0.25" customHeight="1">
      <c r="A285" s="4"/>
      <c r="B285" s="4"/>
      <c r="C285" s="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0.25" customHeight="1">
      <c r="A286" s="4"/>
      <c r="B286" s="4"/>
      <c r="C286" s="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0.25" customHeight="1">
      <c r="A287" s="4"/>
      <c r="B287" s="4"/>
      <c r="C287" s="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0.25" customHeight="1">
      <c r="A288" s="4"/>
      <c r="B288" s="4"/>
      <c r="C288" s="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0.25" customHeight="1">
      <c r="A289" s="4"/>
      <c r="B289" s="4"/>
      <c r="C289" s="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0.25" customHeight="1">
      <c r="A290" s="4"/>
      <c r="B290" s="4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0.25" customHeight="1">
      <c r="A291" s="4"/>
      <c r="B291" s="4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0.25" customHeight="1">
      <c r="A292" s="4"/>
      <c r="B292" s="4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0.25" customHeight="1">
      <c r="A293" s="4"/>
      <c r="B293" s="4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0.25" customHeight="1">
      <c r="A294" s="4"/>
      <c r="B294" s="4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0.25" customHeight="1">
      <c r="A295" s="4"/>
      <c r="B295" s="4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0.25" customHeight="1">
      <c r="A296" s="4"/>
      <c r="B296" s="4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0.25" customHeight="1">
      <c r="A297" s="4"/>
      <c r="B297" s="4"/>
      <c r="C297" s="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0.25" customHeight="1">
      <c r="A298" s="4"/>
      <c r="B298" s="4"/>
      <c r="C298" s="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0.25" customHeight="1">
      <c r="A299" s="4"/>
      <c r="B299" s="4"/>
      <c r="C299" s="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0.25" customHeight="1">
      <c r="A300" s="4"/>
      <c r="B300" s="4"/>
      <c r="C300" s="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0.25" customHeight="1">
      <c r="A301" s="4"/>
      <c r="B301" s="4"/>
      <c r="C301" s="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0.25" customHeight="1">
      <c r="A302" s="4"/>
      <c r="B302" s="4"/>
      <c r="C302" s="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0.25" customHeight="1">
      <c r="A303" s="4"/>
      <c r="B303" s="4"/>
      <c r="C303" s="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0.25" customHeight="1">
      <c r="A304" s="4"/>
      <c r="B304" s="4"/>
      <c r="C304" s="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0.25" customHeight="1">
      <c r="A305" s="4"/>
      <c r="B305" s="4"/>
      <c r="C305" s="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0.25" customHeight="1">
      <c r="A306" s="4"/>
      <c r="B306" s="4"/>
      <c r="C306" s="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0.25" customHeight="1">
      <c r="A307" s="4"/>
      <c r="B307" s="4"/>
      <c r="C307" s="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0.25" customHeight="1">
      <c r="A308" s="4"/>
      <c r="B308" s="4"/>
      <c r="C308" s="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0.25" customHeight="1">
      <c r="A309" s="4"/>
      <c r="B309" s="4"/>
      <c r="C309" s="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0.25" customHeight="1">
      <c r="A310" s="4"/>
      <c r="B310" s="4"/>
      <c r="C310" s="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0.25" customHeight="1">
      <c r="A311" s="4"/>
      <c r="B311" s="4"/>
      <c r="C311" s="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0.25" customHeight="1">
      <c r="A312" s="4"/>
      <c r="B312" s="4"/>
      <c r="C312" s="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0.25" customHeight="1">
      <c r="A313" s="4"/>
      <c r="B313" s="4"/>
      <c r="C313" s="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0.25" customHeight="1">
      <c r="A314" s="4"/>
      <c r="B314" s="4"/>
      <c r="C314" s="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0.25" customHeight="1">
      <c r="A315" s="4"/>
      <c r="B315" s="4"/>
      <c r="C315" s="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0.25" customHeight="1">
      <c r="A316" s="4"/>
      <c r="B316" s="4"/>
      <c r="C316" s="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0.25" customHeight="1">
      <c r="A317" s="4"/>
      <c r="B317" s="4"/>
      <c r="C317" s="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0.25" customHeight="1">
      <c r="A318" s="4"/>
      <c r="B318" s="4"/>
      <c r="C318" s="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0.25" customHeight="1">
      <c r="A319" s="4"/>
      <c r="B319" s="4"/>
      <c r="C319" s="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0.25" customHeight="1">
      <c r="A320" s="4"/>
      <c r="B320" s="4"/>
      <c r="C320" s="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0.25" customHeight="1">
      <c r="A321" s="4"/>
      <c r="B321" s="4"/>
      <c r="C321" s="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0.25" customHeight="1">
      <c r="A322" s="4"/>
      <c r="B322" s="4"/>
      <c r="C322" s="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0.25" customHeight="1">
      <c r="A323" s="4"/>
      <c r="B323" s="4"/>
      <c r="C323" s="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0.25" customHeight="1">
      <c r="A324" s="4"/>
      <c r="B324" s="4"/>
      <c r="C324" s="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0.25" customHeight="1">
      <c r="A325" s="4"/>
      <c r="B325" s="4"/>
      <c r="C325" s="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0.25" customHeight="1">
      <c r="A326" s="4"/>
      <c r="B326" s="4"/>
      <c r="C326" s="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0.25" customHeight="1">
      <c r="A327" s="4"/>
      <c r="B327" s="4"/>
      <c r="C327" s="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0.25" customHeight="1">
      <c r="A328" s="4"/>
      <c r="B328" s="4"/>
      <c r="C328" s="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0.25" customHeight="1">
      <c r="A329" s="4"/>
      <c r="B329" s="4"/>
      <c r="C329" s="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0.25" customHeight="1">
      <c r="A330" s="4"/>
      <c r="B330" s="4"/>
      <c r="C330" s="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0.25" customHeight="1">
      <c r="A331" s="4"/>
      <c r="B331" s="4"/>
      <c r="C331" s="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0.25" customHeight="1">
      <c r="A332" s="4"/>
      <c r="B332" s="4"/>
      <c r="C332" s="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0.25" customHeight="1">
      <c r="A333" s="4"/>
      <c r="B333" s="4"/>
      <c r="C333" s="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0.25" customHeight="1">
      <c r="A334" s="4"/>
      <c r="B334" s="4"/>
      <c r="C334" s="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0.25" customHeight="1">
      <c r="A335" s="4"/>
      <c r="B335" s="4"/>
      <c r="C335" s="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0.25" customHeight="1">
      <c r="A336" s="4"/>
      <c r="B336" s="4"/>
      <c r="C336" s="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0.25" customHeight="1">
      <c r="A337" s="4"/>
      <c r="B337" s="4"/>
      <c r="C337" s="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0.25" customHeight="1">
      <c r="A338" s="4"/>
      <c r="B338" s="4"/>
      <c r="C338" s="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0.25" customHeight="1">
      <c r="A339" s="4"/>
      <c r="B339" s="4"/>
      <c r="C339" s="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0.25" customHeight="1">
      <c r="A340" s="4"/>
      <c r="B340" s="4"/>
      <c r="C340" s="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0.25" customHeight="1">
      <c r="A341" s="4"/>
      <c r="B341" s="4"/>
      <c r="C341" s="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0.25" customHeight="1">
      <c r="A342" s="4"/>
      <c r="B342" s="4"/>
      <c r="C342" s="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0.25" customHeight="1">
      <c r="A343" s="4"/>
      <c r="B343" s="4"/>
      <c r="C343" s="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0.25" customHeight="1">
      <c r="A344" s="4"/>
      <c r="B344" s="4"/>
      <c r="C344" s="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0.25" customHeight="1">
      <c r="A345" s="4"/>
      <c r="B345" s="4"/>
      <c r="C345" s="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0.25" customHeight="1">
      <c r="A346" s="4"/>
      <c r="B346" s="4"/>
      <c r="C346" s="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0.25" customHeight="1">
      <c r="A347" s="4"/>
      <c r="B347" s="4"/>
      <c r="C347" s="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0.25" customHeight="1">
      <c r="A348" s="4"/>
      <c r="B348" s="4"/>
      <c r="C348" s="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0.25" customHeight="1">
      <c r="A349" s="4"/>
      <c r="B349" s="4"/>
      <c r="C349" s="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0.25" customHeight="1">
      <c r="A350" s="4"/>
      <c r="B350" s="4"/>
      <c r="C350" s="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0.25" customHeight="1">
      <c r="A351" s="4"/>
      <c r="B351" s="4"/>
      <c r="C351" s="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0.25" customHeight="1">
      <c r="A352" s="4"/>
      <c r="B352" s="4"/>
      <c r="C352" s="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0.25" customHeight="1">
      <c r="A353" s="4"/>
      <c r="B353" s="4"/>
      <c r="C353" s="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0.25" customHeight="1">
      <c r="A354" s="4"/>
      <c r="B354" s="4"/>
      <c r="C354" s="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0.25" customHeight="1">
      <c r="A355" s="4"/>
      <c r="B355" s="4"/>
      <c r="C355" s="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0.25" customHeight="1">
      <c r="A356" s="4"/>
      <c r="B356" s="4"/>
      <c r="C356" s="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0.25" customHeight="1">
      <c r="A357" s="4"/>
      <c r="B357" s="4"/>
      <c r="C357" s="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0.25" customHeight="1">
      <c r="A358" s="4"/>
      <c r="B358" s="4"/>
      <c r="C358" s="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0.25" customHeight="1">
      <c r="A359" s="4"/>
      <c r="B359" s="4"/>
      <c r="C359" s="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0.25" customHeight="1">
      <c r="A360" s="4"/>
      <c r="B360" s="4"/>
      <c r="C360" s="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0.25" customHeight="1">
      <c r="A361" s="4"/>
      <c r="B361" s="4"/>
      <c r="C361" s="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0.25" customHeight="1">
      <c r="A362" s="4"/>
      <c r="B362" s="4"/>
      <c r="C362" s="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0.25" customHeight="1">
      <c r="A363" s="4"/>
      <c r="B363" s="4"/>
      <c r="C363" s="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0.25" customHeight="1">
      <c r="A364" s="4"/>
      <c r="B364" s="4"/>
      <c r="C364" s="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0.25" customHeight="1">
      <c r="A365" s="4"/>
      <c r="B365" s="4"/>
      <c r="C365" s="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0.25" customHeight="1">
      <c r="A366" s="4"/>
      <c r="B366" s="4"/>
      <c r="C366" s="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0.25" customHeight="1">
      <c r="A367" s="4"/>
      <c r="B367" s="4"/>
      <c r="C367" s="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0.25" customHeight="1">
      <c r="A368" s="4"/>
      <c r="B368" s="4"/>
      <c r="C368" s="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0.25" customHeight="1">
      <c r="A369" s="4"/>
      <c r="B369" s="4"/>
      <c r="C369" s="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0.25" customHeight="1">
      <c r="A370" s="4"/>
      <c r="B370" s="4"/>
      <c r="C370" s="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0.25" customHeight="1">
      <c r="A371" s="4"/>
      <c r="B371" s="4"/>
      <c r="C371" s="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0.25" customHeight="1">
      <c r="A372" s="4"/>
      <c r="B372" s="4"/>
      <c r="C372" s="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0.25" customHeight="1">
      <c r="A373" s="4"/>
      <c r="B373" s="4"/>
      <c r="C373" s="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0.25" customHeight="1">
      <c r="A374" s="4"/>
      <c r="B374" s="4"/>
      <c r="C374" s="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0.25" customHeight="1">
      <c r="A375" s="4"/>
      <c r="B375" s="4"/>
      <c r="C375" s="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0.25" customHeight="1">
      <c r="A376" s="4"/>
      <c r="B376" s="4"/>
      <c r="C376" s="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0.25" customHeight="1">
      <c r="A377" s="4"/>
      <c r="B377" s="4"/>
      <c r="C377" s="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0.25" customHeight="1">
      <c r="A378" s="4"/>
      <c r="B378" s="4"/>
      <c r="C378" s="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0.25" customHeight="1">
      <c r="A379" s="4"/>
      <c r="B379" s="4"/>
      <c r="C379" s="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0.25" customHeight="1">
      <c r="A380" s="4"/>
      <c r="B380" s="4"/>
      <c r="C380" s="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0.25" customHeight="1">
      <c r="A381" s="4"/>
      <c r="B381" s="4"/>
      <c r="C381" s="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0.25" customHeight="1">
      <c r="A382" s="4"/>
      <c r="B382" s="4"/>
      <c r="C382" s="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0.25" customHeight="1">
      <c r="A383" s="4"/>
      <c r="B383" s="4"/>
      <c r="C383" s="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0.25" customHeight="1">
      <c r="A384" s="4"/>
      <c r="B384" s="4"/>
      <c r="C384" s="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0.25" customHeight="1">
      <c r="A385" s="4"/>
      <c r="B385" s="4"/>
      <c r="C385" s="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0.25" customHeight="1">
      <c r="A386" s="4"/>
      <c r="B386" s="4"/>
      <c r="C386" s="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0.25" customHeight="1">
      <c r="A387" s="4"/>
      <c r="B387" s="4"/>
      <c r="C387" s="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0.25" customHeight="1">
      <c r="A388" s="4"/>
      <c r="B388" s="4"/>
      <c r="C388" s="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0.25" customHeight="1">
      <c r="A389" s="4"/>
      <c r="B389" s="4"/>
      <c r="C389" s="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0.25" customHeight="1">
      <c r="A390" s="4"/>
      <c r="B390" s="4"/>
      <c r="C390" s="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0.25" customHeight="1">
      <c r="A391" s="4"/>
      <c r="B391" s="4"/>
      <c r="C391" s="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0.25" customHeight="1">
      <c r="A392" s="4"/>
      <c r="B392" s="4"/>
      <c r="C392" s="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0.25" customHeight="1">
      <c r="A393" s="4"/>
      <c r="B393" s="4"/>
      <c r="C393" s="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0.25" customHeight="1">
      <c r="A394" s="4"/>
      <c r="B394" s="4"/>
      <c r="C394" s="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0.25" customHeight="1">
      <c r="A395" s="4"/>
      <c r="B395" s="4"/>
      <c r="C395" s="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0.25" customHeight="1">
      <c r="A396" s="4"/>
      <c r="B396" s="4"/>
      <c r="C396" s="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0.25" customHeight="1">
      <c r="A397" s="4"/>
      <c r="B397" s="4"/>
      <c r="C397" s="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0.25" customHeight="1">
      <c r="A398" s="4"/>
      <c r="B398" s="4"/>
      <c r="C398" s="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0.25" customHeight="1">
      <c r="A399" s="4"/>
      <c r="B399" s="4"/>
      <c r="C399" s="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0.25" customHeight="1">
      <c r="A400" s="4"/>
      <c r="B400" s="4"/>
      <c r="C400" s="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0.25" customHeight="1">
      <c r="A401" s="4"/>
      <c r="B401" s="4"/>
      <c r="C401" s="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0.25" customHeight="1">
      <c r="A402" s="4"/>
      <c r="B402" s="4"/>
      <c r="C402" s="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0.25" customHeight="1">
      <c r="A403" s="4"/>
      <c r="B403" s="4"/>
      <c r="C403" s="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0.25" customHeight="1">
      <c r="A404" s="4"/>
      <c r="B404" s="4"/>
      <c r="C404" s="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0.25" customHeight="1">
      <c r="A405" s="4"/>
      <c r="B405" s="4"/>
      <c r="C405" s="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0.25" customHeight="1">
      <c r="A406" s="4"/>
      <c r="B406" s="4"/>
      <c r="C406" s="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0.25" customHeight="1">
      <c r="A407" s="4"/>
      <c r="B407" s="4"/>
      <c r="C407" s="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0.25" customHeight="1">
      <c r="A408" s="4"/>
      <c r="B408" s="4"/>
      <c r="C408" s="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0.25" customHeight="1">
      <c r="A409" s="4"/>
      <c r="B409" s="4"/>
      <c r="C409" s="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0.25" customHeight="1">
      <c r="A410" s="4"/>
      <c r="B410" s="4"/>
      <c r="C410" s="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0.25" customHeight="1">
      <c r="A411" s="4"/>
      <c r="B411" s="4"/>
      <c r="C411" s="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0.25" customHeight="1">
      <c r="A412" s="4"/>
      <c r="B412" s="4"/>
      <c r="C412" s="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0.25" customHeight="1">
      <c r="A413" s="4"/>
      <c r="B413" s="4"/>
      <c r="C413" s="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0.25" customHeight="1">
      <c r="A414" s="4"/>
      <c r="B414" s="4"/>
      <c r="C414" s="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0.25" customHeight="1">
      <c r="A415" s="4"/>
      <c r="B415" s="4"/>
      <c r="C415" s="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0.25" customHeight="1">
      <c r="A416" s="4"/>
      <c r="B416" s="4"/>
      <c r="C416" s="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0.25" customHeight="1">
      <c r="A417" s="4"/>
      <c r="B417" s="4"/>
      <c r="C417" s="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0.25" customHeight="1">
      <c r="A418" s="4"/>
      <c r="B418" s="4"/>
      <c r="C418" s="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0.25" customHeight="1">
      <c r="A419" s="4"/>
      <c r="B419" s="4"/>
      <c r="C419" s="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0.25" customHeight="1">
      <c r="A420" s="4"/>
      <c r="B420" s="4"/>
      <c r="C420" s="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0.25" customHeight="1">
      <c r="A421" s="4"/>
      <c r="B421" s="4"/>
      <c r="C421" s="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0.25" customHeight="1">
      <c r="A422" s="4"/>
      <c r="B422" s="4"/>
      <c r="C422" s="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0.25" customHeight="1">
      <c r="A423" s="4"/>
      <c r="B423" s="4"/>
      <c r="C423" s="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0.25" customHeight="1">
      <c r="A424" s="4"/>
      <c r="B424" s="4"/>
      <c r="C424" s="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0.25" customHeight="1">
      <c r="A425" s="4"/>
      <c r="B425" s="4"/>
      <c r="C425" s="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0.25" customHeight="1">
      <c r="A426" s="4"/>
      <c r="B426" s="4"/>
      <c r="C426" s="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0.25" customHeight="1">
      <c r="A427" s="4"/>
      <c r="B427" s="4"/>
      <c r="C427" s="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0.25" customHeight="1">
      <c r="A428" s="4"/>
      <c r="B428" s="4"/>
      <c r="C428" s="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0.25" customHeight="1">
      <c r="A429" s="4"/>
      <c r="B429" s="4"/>
      <c r="C429" s="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0.25" customHeight="1">
      <c r="A430" s="4"/>
      <c r="B430" s="4"/>
      <c r="C430" s="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0.25" customHeight="1">
      <c r="A431" s="4"/>
      <c r="B431" s="4"/>
      <c r="C431" s="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0.25" customHeight="1">
      <c r="A432" s="4"/>
      <c r="B432" s="4"/>
      <c r="C432" s="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0.25" customHeight="1">
      <c r="A433" s="4"/>
      <c r="B433" s="4"/>
      <c r="C433" s="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0.25" customHeight="1">
      <c r="A434" s="4"/>
      <c r="B434" s="4"/>
      <c r="C434" s="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0.25" customHeight="1">
      <c r="A435" s="4"/>
      <c r="B435" s="4"/>
      <c r="C435" s="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0.25" customHeight="1">
      <c r="A436" s="4"/>
      <c r="B436" s="4"/>
      <c r="C436" s="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0.25" customHeight="1">
      <c r="A437" s="4"/>
      <c r="B437" s="4"/>
      <c r="C437" s="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0.25" customHeight="1">
      <c r="A438" s="4"/>
      <c r="B438" s="4"/>
      <c r="C438" s="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0.25" customHeight="1">
      <c r="A439" s="4"/>
      <c r="B439" s="4"/>
      <c r="C439" s="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0.25" customHeight="1">
      <c r="A440" s="4"/>
      <c r="B440" s="4"/>
      <c r="C440" s="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0.25" customHeight="1">
      <c r="A441" s="4"/>
      <c r="B441" s="4"/>
      <c r="C441" s="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0.25" customHeight="1">
      <c r="A442" s="4"/>
      <c r="B442" s="4"/>
      <c r="C442" s="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0.25" customHeight="1">
      <c r="A443" s="4"/>
      <c r="B443" s="4"/>
      <c r="C443" s="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0.25" customHeight="1">
      <c r="A444" s="4"/>
      <c r="B444" s="4"/>
      <c r="C444" s="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0.25" customHeight="1">
      <c r="A445" s="4"/>
      <c r="B445" s="4"/>
      <c r="C445" s="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0.25" customHeight="1">
      <c r="A446" s="4"/>
      <c r="B446" s="4"/>
      <c r="C446" s="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0.25" customHeight="1">
      <c r="A447" s="4"/>
      <c r="B447" s="4"/>
      <c r="C447" s="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0.25" customHeight="1">
      <c r="A448" s="4"/>
      <c r="B448" s="4"/>
      <c r="C448" s="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0.25" customHeight="1">
      <c r="A449" s="4"/>
      <c r="B449" s="4"/>
      <c r="C449" s="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0.25" customHeight="1">
      <c r="A450" s="4"/>
      <c r="B450" s="4"/>
      <c r="C450" s="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0.25" customHeight="1">
      <c r="A451" s="4"/>
      <c r="B451" s="4"/>
      <c r="C451" s="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0.25" customHeight="1">
      <c r="A452" s="4"/>
      <c r="B452" s="4"/>
      <c r="C452" s="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0.25" customHeight="1">
      <c r="A453" s="4"/>
      <c r="B453" s="4"/>
      <c r="C453" s="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0.25" customHeight="1">
      <c r="A454" s="4"/>
      <c r="B454" s="4"/>
      <c r="C454" s="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0.25" customHeight="1">
      <c r="A455" s="4"/>
      <c r="B455" s="4"/>
      <c r="C455" s="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0.25" customHeight="1">
      <c r="A456" s="4"/>
      <c r="B456" s="4"/>
      <c r="C456" s="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0.25" customHeight="1">
      <c r="A457" s="4"/>
      <c r="B457" s="4"/>
      <c r="C457" s="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0.25" customHeight="1">
      <c r="A458" s="4"/>
      <c r="B458" s="4"/>
      <c r="C458" s="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0.25" customHeight="1">
      <c r="A459" s="4"/>
      <c r="B459" s="4"/>
      <c r="C459" s="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0.25" customHeight="1">
      <c r="A460" s="4"/>
      <c r="B460" s="4"/>
      <c r="C460" s="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0.25" customHeight="1">
      <c r="A461" s="4"/>
      <c r="B461" s="4"/>
      <c r="C461" s="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0.25" customHeight="1">
      <c r="A462" s="4"/>
      <c r="B462" s="4"/>
      <c r="C462" s="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0.25" customHeight="1">
      <c r="A463" s="4"/>
      <c r="B463" s="4"/>
      <c r="C463" s="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0.25" customHeight="1">
      <c r="A464" s="4"/>
      <c r="B464" s="4"/>
      <c r="C464" s="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0.25" customHeight="1">
      <c r="A465" s="4"/>
      <c r="B465" s="4"/>
      <c r="C465" s="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0.25" customHeight="1">
      <c r="A466" s="4"/>
      <c r="B466" s="4"/>
      <c r="C466" s="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0.25" customHeight="1">
      <c r="A467" s="4"/>
      <c r="B467" s="4"/>
      <c r="C467" s="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/>
    <row r="469" spans="1:26" ht="15.75" customHeight="1"/>
    <row r="470" spans="1:26" ht="15.75" customHeight="1"/>
    <row r="471" spans="1:26" ht="15.75" customHeight="1"/>
    <row r="472" spans="1:26" ht="15.75" customHeight="1"/>
    <row r="473" spans="1:26" ht="15.75" customHeight="1"/>
    <row r="474" spans="1:26" ht="15.75" customHeight="1"/>
    <row r="475" spans="1:26" ht="15.75" customHeight="1"/>
    <row r="476" spans="1:26" ht="15.75" customHeight="1"/>
    <row r="477" spans="1:26" ht="15.75" customHeight="1"/>
    <row r="478" spans="1:26" ht="15.75" customHeight="1"/>
    <row r="479" spans="1:26" ht="15.75" customHeight="1"/>
    <row r="480" spans="1:26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00"/>
  <sheetViews>
    <sheetView workbookViewId="0"/>
  </sheetViews>
  <sheetFormatPr defaultColWidth="12.5703125" defaultRowHeight="15" customHeight="1"/>
  <cols>
    <col min="1" max="1" width="61.140625" customWidth="1"/>
    <col min="2" max="2" width="20.140625" customWidth="1"/>
    <col min="3" max="3" width="34.5703125" customWidth="1"/>
    <col min="4" max="6" width="12.5703125" customWidth="1"/>
  </cols>
  <sheetData>
    <row r="1" spans="1:4" ht="15" customHeight="1">
      <c r="A1" s="7" t="s">
        <v>0</v>
      </c>
      <c r="B1" s="7" t="s">
        <v>132</v>
      </c>
      <c r="C1" s="7" t="s">
        <v>541</v>
      </c>
      <c r="D1" s="16"/>
    </row>
    <row r="2" spans="1:4">
      <c r="A2" s="17" t="s">
        <v>134</v>
      </c>
      <c r="B2" s="18" t="s">
        <v>135</v>
      </c>
      <c r="C2" s="19">
        <v>30975.998899999999</v>
      </c>
      <c r="D2" s="20"/>
    </row>
    <row r="3" spans="1:4">
      <c r="A3" s="17" t="s">
        <v>136</v>
      </c>
      <c r="B3" s="18" t="s">
        <v>137</v>
      </c>
      <c r="C3" s="19">
        <v>1679.32762</v>
      </c>
      <c r="D3" s="20"/>
    </row>
    <row r="4" spans="1:4">
      <c r="A4" s="17" t="s">
        <v>138</v>
      </c>
      <c r="B4" s="17" t="s">
        <v>139</v>
      </c>
      <c r="C4" s="19">
        <v>357.26115299999998</v>
      </c>
      <c r="D4" s="20"/>
    </row>
    <row r="5" spans="1:4">
      <c r="A5" s="17" t="s">
        <v>140</v>
      </c>
      <c r="B5" s="18" t="s">
        <v>141</v>
      </c>
      <c r="C5" s="19">
        <v>2138.4731499999998</v>
      </c>
      <c r="D5" s="20"/>
    </row>
    <row r="6" spans="1:4">
      <c r="A6" s="17" t="s">
        <v>95</v>
      </c>
      <c r="B6" s="18" t="s">
        <v>142</v>
      </c>
      <c r="C6" s="19">
        <v>3682.1131500000001</v>
      </c>
      <c r="D6" s="20"/>
    </row>
    <row r="7" spans="1:4">
      <c r="A7" s="17" t="s">
        <v>68</v>
      </c>
      <c r="B7" s="18" t="s">
        <v>143</v>
      </c>
      <c r="C7" s="19">
        <v>7756.9618899999996</v>
      </c>
      <c r="D7" s="20"/>
    </row>
    <row r="8" spans="1:4">
      <c r="A8" s="17" t="s">
        <v>144</v>
      </c>
      <c r="B8" s="18" t="s">
        <v>145</v>
      </c>
      <c r="C8" s="19">
        <v>42414.048000000003</v>
      </c>
      <c r="D8" s="20"/>
    </row>
    <row r="9" spans="1:4">
      <c r="A9" s="17" t="s">
        <v>146</v>
      </c>
      <c r="B9" s="18" t="s">
        <v>147</v>
      </c>
      <c r="C9" s="19">
        <v>7950.3558199999998</v>
      </c>
      <c r="D9" s="20"/>
    </row>
    <row r="10" spans="1:4">
      <c r="A10" s="17" t="s">
        <v>148</v>
      </c>
      <c r="B10" s="18" t="s">
        <v>149</v>
      </c>
      <c r="C10" s="19">
        <v>50759.758900000001</v>
      </c>
      <c r="D10" s="20"/>
    </row>
    <row r="11" spans="1:4">
      <c r="A11" s="17" t="s">
        <v>52</v>
      </c>
      <c r="B11" s="18" t="s">
        <v>150</v>
      </c>
      <c r="C11" s="19">
        <v>13962.189399999999</v>
      </c>
      <c r="D11" s="20"/>
    </row>
    <row r="12" spans="1:4">
      <c r="A12" s="17" t="s">
        <v>76</v>
      </c>
      <c r="B12" s="18" t="s">
        <v>151</v>
      </c>
      <c r="C12" s="19">
        <v>6571.9744600000004</v>
      </c>
      <c r="D12" s="20"/>
    </row>
    <row r="13" spans="1:4">
      <c r="A13" s="17" t="s">
        <v>152</v>
      </c>
      <c r="B13" s="18" t="s">
        <v>153</v>
      </c>
      <c r="C13" s="19">
        <v>18017.458900000001</v>
      </c>
      <c r="D13" s="20"/>
    </row>
    <row r="14" spans="1:4">
      <c r="A14" s="17" t="s">
        <v>154</v>
      </c>
      <c r="B14" s="18" t="s">
        <v>155</v>
      </c>
      <c r="C14" s="19">
        <v>20105.198899999999</v>
      </c>
      <c r="D14" s="20"/>
    </row>
    <row r="15" spans="1:4">
      <c r="A15" s="17" t="s">
        <v>13</v>
      </c>
      <c r="B15" s="18" t="s">
        <v>156</v>
      </c>
      <c r="C15" s="19">
        <v>65169.519099999998</v>
      </c>
      <c r="D15" s="20"/>
    </row>
    <row r="16" spans="1:4">
      <c r="A16" s="17" t="s">
        <v>18</v>
      </c>
      <c r="B16" s="18" t="s">
        <v>157</v>
      </c>
      <c r="C16" s="19">
        <v>52336.772499999999</v>
      </c>
      <c r="D16" s="20"/>
    </row>
    <row r="17" spans="1:4">
      <c r="A17" s="17" t="s">
        <v>67</v>
      </c>
      <c r="B17" s="18" t="s">
        <v>158</v>
      </c>
      <c r="C17" s="19">
        <v>7770.59422</v>
      </c>
      <c r="D17" s="20"/>
    </row>
    <row r="18" spans="1:4">
      <c r="A18" s="17" t="s">
        <v>159</v>
      </c>
      <c r="B18" s="18" t="s">
        <v>160</v>
      </c>
      <c r="C18" s="19">
        <v>302.99250499999999</v>
      </c>
      <c r="D18" s="20"/>
    </row>
    <row r="19" spans="1:4">
      <c r="A19" s="17" t="s">
        <v>19</v>
      </c>
      <c r="B19" s="18" t="s">
        <v>161</v>
      </c>
      <c r="C19" s="19">
        <v>50605.7497</v>
      </c>
      <c r="D19" s="20"/>
    </row>
    <row r="20" spans="1:4">
      <c r="A20" s="17" t="s">
        <v>119</v>
      </c>
      <c r="B20" s="18" t="s">
        <v>162</v>
      </c>
      <c r="C20" s="19">
        <v>1266.4271100000001</v>
      </c>
      <c r="D20" s="20"/>
    </row>
    <row r="21" spans="1:4" ht="15.75" customHeight="1">
      <c r="A21" s="17" t="s">
        <v>128</v>
      </c>
      <c r="B21" s="18" t="s">
        <v>163</v>
      </c>
      <c r="C21" s="19">
        <v>827.33084299999996</v>
      </c>
      <c r="D21" s="20"/>
    </row>
    <row r="22" spans="1:4" ht="15.75" customHeight="1">
      <c r="A22" s="17" t="s">
        <v>102</v>
      </c>
      <c r="B22" s="18" t="s">
        <v>164</v>
      </c>
      <c r="C22" s="19">
        <v>2716.4859299999998</v>
      </c>
      <c r="D22" s="20"/>
    </row>
    <row r="23" spans="1:4" ht="15.75" customHeight="1">
      <c r="A23" s="17" t="s">
        <v>51</v>
      </c>
      <c r="B23" s="18" t="s">
        <v>165</v>
      </c>
      <c r="C23" s="19">
        <v>13999.195</v>
      </c>
      <c r="D23" s="20"/>
    </row>
    <row r="24" spans="1:4" ht="15.75" customHeight="1">
      <c r="A24" s="17" t="s">
        <v>32</v>
      </c>
      <c r="B24" s="18" t="s">
        <v>166</v>
      </c>
      <c r="C24" s="19">
        <v>30470.5219</v>
      </c>
      <c r="D24" s="20"/>
    </row>
    <row r="25" spans="1:4" ht="15.75" customHeight="1">
      <c r="A25" s="17" t="s">
        <v>167</v>
      </c>
      <c r="B25" s="18" t="s">
        <v>168</v>
      </c>
      <c r="C25" s="19">
        <v>34957.1613</v>
      </c>
      <c r="D25" s="20"/>
    </row>
    <row r="26" spans="1:4" ht="15.75" customHeight="1">
      <c r="A26" s="17" t="s">
        <v>69</v>
      </c>
      <c r="B26" s="18" t="s">
        <v>169</v>
      </c>
      <c r="C26" s="19">
        <v>7655.5942100000002</v>
      </c>
      <c r="D26" s="20"/>
    </row>
    <row r="27" spans="1:4" ht="15.75" customHeight="1">
      <c r="A27" s="17" t="s">
        <v>66</v>
      </c>
      <c r="B27" s="18" t="s">
        <v>170</v>
      </c>
      <c r="C27" s="19">
        <v>7994.6480600000004</v>
      </c>
      <c r="D27" s="20"/>
    </row>
    <row r="28" spans="1:4" ht="15.75" customHeight="1">
      <c r="A28" s="17" t="s">
        <v>171</v>
      </c>
      <c r="B28" s="18" t="s">
        <v>172</v>
      </c>
      <c r="C28" s="19">
        <v>7068.2172799999998</v>
      </c>
      <c r="D28" s="20"/>
    </row>
    <row r="29" spans="1:4" ht="15.75" customHeight="1">
      <c r="A29" s="17" t="s">
        <v>173</v>
      </c>
      <c r="B29" s="18" t="s">
        <v>174</v>
      </c>
      <c r="C29" s="19">
        <v>121613.94</v>
      </c>
      <c r="D29" s="20"/>
    </row>
    <row r="30" spans="1:4" ht="15.75" customHeight="1">
      <c r="A30" s="17" t="s">
        <v>90</v>
      </c>
      <c r="B30" s="18" t="s">
        <v>175</v>
      </c>
      <c r="C30" s="19">
        <v>4219.4611400000003</v>
      </c>
      <c r="D30" s="20"/>
    </row>
    <row r="31" spans="1:4" ht="15.75" customHeight="1">
      <c r="A31" s="17" t="s">
        <v>63</v>
      </c>
      <c r="B31" s="18" t="s">
        <v>176</v>
      </c>
      <c r="C31" s="19">
        <v>9281.3328199999996</v>
      </c>
      <c r="D31" s="20"/>
    </row>
    <row r="32" spans="1:4" ht="15.75" customHeight="1">
      <c r="A32" s="17" t="s">
        <v>177</v>
      </c>
      <c r="B32" s="18" t="s">
        <v>178</v>
      </c>
      <c r="C32" s="19">
        <v>24387.038700000001</v>
      </c>
      <c r="D32" s="20"/>
    </row>
    <row r="33" spans="1:4" ht="15.75" customHeight="1">
      <c r="A33" s="17" t="s">
        <v>26</v>
      </c>
      <c r="B33" s="18" t="s">
        <v>179</v>
      </c>
      <c r="C33" s="19">
        <v>36632.928099999997</v>
      </c>
      <c r="D33" s="20"/>
    </row>
    <row r="34" spans="1:4" ht="15.75" customHeight="1">
      <c r="A34" s="17" t="s">
        <v>180</v>
      </c>
      <c r="B34" s="18" t="s">
        <v>181</v>
      </c>
      <c r="C34" s="19">
        <v>3711.3276799999999</v>
      </c>
      <c r="D34" s="20"/>
    </row>
    <row r="35" spans="1:4" ht="15.75" customHeight="1">
      <c r="A35" s="17" t="s">
        <v>65</v>
      </c>
      <c r="B35" s="18" t="s">
        <v>182</v>
      </c>
      <c r="C35" s="19">
        <v>8328.7090599999992</v>
      </c>
      <c r="D35" s="20"/>
    </row>
    <row r="36" spans="1:4" ht="15.75" customHeight="1">
      <c r="A36" s="17" t="s">
        <v>183</v>
      </c>
      <c r="B36" s="18" t="s">
        <v>184</v>
      </c>
      <c r="C36" s="19">
        <v>467.359825</v>
      </c>
      <c r="D36" s="21"/>
    </row>
    <row r="37" spans="1:4" ht="15.75" customHeight="1">
      <c r="A37" s="17" t="s">
        <v>15</v>
      </c>
      <c r="B37" s="18" t="s">
        <v>185</v>
      </c>
      <c r="C37" s="19">
        <v>56256.8007</v>
      </c>
      <c r="D37" s="21"/>
    </row>
    <row r="38" spans="1:4" ht="15.75" customHeight="1">
      <c r="A38" s="17" t="s">
        <v>186</v>
      </c>
      <c r="B38" s="18" t="s">
        <v>187</v>
      </c>
      <c r="C38" s="19">
        <v>19530.155299999999</v>
      </c>
      <c r="D38" s="21"/>
    </row>
    <row r="39" spans="1:4" ht="15.75" customHeight="1">
      <c r="A39" s="17" t="s">
        <v>9</v>
      </c>
      <c r="B39" s="18" t="s">
        <v>188</v>
      </c>
      <c r="C39" s="19">
        <v>94394.510699999999</v>
      </c>
      <c r="D39" s="21"/>
    </row>
    <row r="40" spans="1:4" ht="15.75" customHeight="1">
      <c r="A40" s="17" t="s">
        <v>189</v>
      </c>
      <c r="B40" s="18" t="s">
        <v>190</v>
      </c>
      <c r="C40" s="19">
        <v>67627.141699999993</v>
      </c>
      <c r="D40" s="21"/>
    </row>
    <row r="41" spans="1:4" ht="15.75" customHeight="1">
      <c r="A41" s="17" t="s">
        <v>50</v>
      </c>
      <c r="B41" s="18" t="s">
        <v>191</v>
      </c>
      <c r="C41" s="19">
        <v>15405.616599999999</v>
      </c>
      <c r="D41" s="21"/>
    </row>
    <row r="42" spans="1:4" ht="15.75" customHeight="1">
      <c r="A42" s="17" t="s">
        <v>54</v>
      </c>
      <c r="B42" s="18" t="s">
        <v>192</v>
      </c>
      <c r="C42" s="19">
        <v>12970.605600000001</v>
      </c>
      <c r="D42" s="21"/>
    </row>
    <row r="43" spans="1:4" ht="15.75" customHeight="1">
      <c r="A43" s="17" t="s">
        <v>107</v>
      </c>
      <c r="B43" s="18" t="s">
        <v>193</v>
      </c>
      <c r="C43" s="19">
        <v>2333.3712799999998</v>
      </c>
      <c r="D43" s="21"/>
    </row>
    <row r="44" spans="1:4" ht="15.75" customHeight="1">
      <c r="A44" s="17" t="s">
        <v>114</v>
      </c>
      <c r="B44" s="18" t="s">
        <v>194</v>
      </c>
      <c r="C44" s="19">
        <v>1604.87727</v>
      </c>
      <c r="D44" s="21"/>
    </row>
    <row r="45" spans="1:4" ht="15.75" customHeight="1">
      <c r="A45" s="17" t="s">
        <v>129</v>
      </c>
      <c r="B45" s="18" t="s">
        <v>195</v>
      </c>
      <c r="C45" s="19">
        <v>687.73858800000005</v>
      </c>
      <c r="D45" s="21"/>
    </row>
    <row r="46" spans="1:4" ht="15.75" customHeight="1">
      <c r="A46" s="17" t="s">
        <v>103</v>
      </c>
      <c r="B46" s="18" t="s">
        <v>196</v>
      </c>
      <c r="C46" s="19">
        <v>2620.8380400000001</v>
      </c>
      <c r="D46" s="21"/>
    </row>
    <row r="47" spans="1:4" ht="15.75" customHeight="1">
      <c r="A47" s="17" t="s">
        <v>75</v>
      </c>
      <c r="B47" s="18" t="s">
        <v>197</v>
      </c>
      <c r="C47" s="19">
        <v>6680.4450699999998</v>
      </c>
      <c r="D47" s="21"/>
    </row>
    <row r="48" spans="1:4" ht="15.75" customHeight="1">
      <c r="A48" s="17" t="s">
        <v>198</v>
      </c>
      <c r="B48" s="18" t="s">
        <v>199</v>
      </c>
      <c r="C48" s="19">
        <v>1465.47964</v>
      </c>
      <c r="D48" s="21"/>
    </row>
    <row r="49" spans="1:4" ht="15.75" customHeight="1">
      <c r="A49" s="17" t="s">
        <v>200</v>
      </c>
      <c r="B49" s="18" t="s">
        <v>201</v>
      </c>
      <c r="C49" s="19">
        <v>4323.3136199999999</v>
      </c>
      <c r="D49" s="21"/>
    </row>
    <row r="50" spans="1:4" ht="15.75" customHeight="1">
      <c r="A50" s="17" t="s">
        <v>53</v>
      </c>
      <c r="B50" s="18" t="s">
        <v>202</v>
      </c>
      <c r="C50" s="19">
        <v>13625.900799999999</v>
      </c>
      <c r="D50" s="21"/>
    </row>
    <row r="51" spans="1:4" ht="15.75" customHeight="1">
      <c r="A51" s="17" t="s">
        <v>203</v>
      </c>
      <c r="B51" s="18" t="s">
        <v>204</v>
      </c>
      <c r="C51" s="19">
        <v>17456.308499999999</v>
      </c>
      <c r="D51" s="21"/>
    </row>
    <row r="52" spans="1:4" ht="15.75" customHeight="1">
      <c r="A52" s="17" t="s">
        <v>205</v>
      </c>
      <c r="B52" s="18" t="s">
        <v>206</v>
      </c>
      <c r="C52" s="22"/>
      <c r="D52" s="21"/>
    </row>
    <row r="53" spans="1:4" ht="15.75" customHeight="1">
      <c r="A53" s="17" t="s">
        <v>207</v>
      </c>
      <c r="B53" s="18" t="s">
        <v>208</v>
      </c>
      <c r="C53" s="19">
        <v>20057.140500000001</v>
      </c>
      <c r="D53" s="21"/>
    </row>
    <row r="54" spans="1:4" ht="15.75" customHeight="1">
      <c r="A54" s="17" t="s">
        <v>209</v>
      </c>
      <c r="B54" s="18" t="s">
        <v>210</v>
      </c>
      <c r="C54" s="19">
        <v>93030.705100000006</v>
      </c>
      <c r="D54" s="21"/>
    </row>
    <row r="55" spans="1:4" ht="15.75" customHeight="1">
      <c r="A55" s="17" t="s">
        <v>31</v>
      </c>
      <c r="B55" s="18" t="s">
        <v>211</v>
      </c>
      <c r="C55" s="19">
        <v>33231.042999999998</v>
      </c>
      <c r="D55" s="21"/>
    </row>
    <row r="56" spans="1:4" ht="15.75" customHeight="1">
      <c r="A56" s="17" t="s">
        <v>36</v>
      </c>
      <c r="B56" s="18" t="s">
        <v>212</v>
      </c>
      <c r="C56" s="19">
        <v>28282.223699999999</v>
      </c>
      <c r="D56" s="21"/>
    </row>
    <row r="57" spans="1:4" ht="15.75" customHeight="1">
      <c r="A57" s="17" t="s">
        <v>20</v>
      </c>
      <c r="B57" s="18" t="s">
        <v>213</v>
      </c>
      <c r="C57" s="19">
        <v>50506.517999999996</v>
      </c>
      <c r="D57" s="21"/>
    </row>
    <row r="58" spans="1:4" ht="15.75" customHeight="1">
      <c r="A58" s="17" t="s">
        <v>214</v>
      </c>
      <c r="B58" s="18" t="s">
        <v>215</v>
      </c>
      <c r="C58" s="19">
        <v>3133.2577999999999</v>
      </c>
      <c r="D58" s="21"/>
    </row>
    <row r="59" spans="1:4" ht="15.75" customHeight="1">
      <c r="A59" s="17" t="s">
        <v>216</v>
      </c>
      <c r="B59" s="18" t="s">
        <v>217</v>
      </c>
      <c r="C59" s="19">
        <v>9323.6608899999992</v>
      </c>
      <c r="D59" s="21"/>
    </row>
    <row r="60" spans="1:4" ht="15.75" customHeight="1">
      <c r="A60" s="17" t="s">
        <v>12</v>
      </c>
      <c r="B60" s="18" t="s">
        <v>218</v>
      </c>
      <c r="C60" s="19">
        <v>67781.094100000002</v>
      </c>
      <c r="D60" s="21"/>
    </row>
    <row r="61" spans="1:4" ht="15.75" customHeight="1">
      <c r="A61" s="17" t="s">
        <v>60</v>
      </c>
      <c r="B61" s="18" t="s">
        <v>219</v>
      </c>
      <c r="C61" s="19">
        <v>10104.2449</v>
      </c>
      <c r="D61" s="21"/>
    </row>
    <row r="62" spans="1:4" ht="15.75" customHeight="1">
      <c r="A62" s="17" t="s">
        <v>85</v>
      </c>
      <c r="B62" s="18" t="s">
        <v>220</v>
      </c>
      <c r="C62" s="19">
        <v>4960.3033400000004</v>
      </c>
      <c r="D62" s="21"/>
    </row>
    <row r="63" spans="1:4" ht="15.75" customHeight="1">
      <c r="A63" s="17" t="s">
        <v>221</v>
      </c>
      <c r="B63" s="18" t="s">
        <v>222</v>
      </c>
      <c r="C63" s="19">
        <v>10106.9936</v>
      </c>
      <c r="D63" s="21"/>
    </row>
    <row r="64" spans="1:4" ht="15.75" customHeight="1">
      <c r="A64" s="17" t="s">
        <v>223</v>
      </c>
      <c r="B64" s="18" t="s">
        <v>224</v>
      </c>
      <c r="C64" s="19">
        <v>4043.8277600000001</v>
      </c>
      <c r="D64" s="21"/>
    </row>
    <row r="65" spans="1:4" ht="15.75" customHeight="1">
      <c r="A65" s="17" t="s">
        <v>225</v>
      </c>
      <c r="B65" s="18" t="s">
        <v>226</v>
      </c>
      <c r="C65" s="19">
        <v>13139.210999999999</v>
      </c>
      <c r="D65" s="21"/>
    </row>
    <row r="66" spans="1:4" ht="15.75" customHeight="1">
      <c r="A66" s="17" t="s">
        <v>227</v>
      </c>
      <c r="B66" s="18" t="s">
        <v>228</v>
      </c>
      <c r="C66" s="19">
        <v>7266.02243</v>
      </c>
      <c r="D66" s="21"/>
    </row>
    <row r="67" spans="1:4" ht="15.75" customHeight="1">
      <c r="A67" s="17" t="s">
        <v>229</v>
      </c>
      <c r="B67" s="18" t="s">
        <v>230</v>
      </c>
      <c r="C67" s="19">
        <v>27913.588199999998</v>
      </c>
      <c r="D67" s="21"/>
    </row>
    <row r="68" spans="1:4" ht="15.75" customHeight="1">
      <c r="A68" s="17" t="s">
        <v>78</v>
      </c>
      <c r="B68" s="18" t="s">
        <v>231</v>
      </c>
      <c r="C68" s="19">
        <v>6515.5852800000002</v>
      </c>
      <c r="D68" s="21"/>
    </row>
    <row r="69" spans="1:4" ht="15.75" customHeight="1">
      <c r="A69" s="17" t="s">
        <v>232</v>
      </c>
      <c r="B69" s="18" t="s">
        <v>233</v>
      </c>
      <c r="C69" s="19">
        <v>4233.3078400000004</v>
      </c>
      <c r="D69" s="21"/>
    </row>
    <row r="70" spans="1:4" ht="15.75" customHeight="1">
      <c r="A70" s="17" t="s">
        <v>234</v>
      </c>
      <c r="B70" s="18" t="s">
        <v>235</v>
      </c>
      <c r="C70" s="19">
        <v>41608.712299999999</v>
      </c>
      <c r="D70" s="21"/>
    </row>
    <row r="71" spans="1:4" ht="15.75" customHeight="1">
      <c r="A71" s="17" t="s">
        <v>236</v>
      </c>
      <c r="B71" s="18" t="s">
        <v>237</v>
      </c>
      <c r="C71" s="22"/>
      <c r="D71" s="21"/>
    </row>
    <row r="72" spans="1:4" ht="15.75" customHeight="1">
      <c r="A72" s="17" t="s">
        <v>33</v>
      </c>
      <c r="B72" s="18" t="s">
        <v>238</v>
      </c>
      <c r="C72" s="19">
        <v>30319.4987</v>
      </c>
      <c r="D72" s="21"/>
    </row>
    <row r="73" spans="1:4" ht="15.75" customHeight="1">
      <c r="A73" s="17" t="s">
        <v>35</v>
      </c>
      <c r="B73" s="18" t="s">
        <v>239</v>
      </c>
      <c r="C73" s="19">
        <v>28340.382699999998</v>
      </c>
      <c r="D73" s="21"/>
    </row>
    <row r="74" spans="1:4" ht="15.75" customHeight="1">
      <c r="A74" s="17" t="s">
        <v>123</v>
      </c>
      <c r="B74" s="18" t="s">
        <v>240</v>
      </c>
      <c r="C74" s="19">
        <v>982.103162</v>
      </c>
      <c r="D74" s="21"/>
    </row>
    <row r="75" spans="1:4" ht="15.75" customHeight="1">
      <c r="A75" s="17" t="s">
        <v>241</v>
      </c>
      <c r="B75" s="18" t="s">
        <v>242</v>
      </c>
      <c r="C75" s="19">
        <v>38066.8845</v>
      </c>
      <c r="D75" s="21"/>
    </row>
    <row r="76" spans="1:4" ht="15.75" customHeight="1">
      <c r="A76" s="17" t="s">
        <v>243</v>
      </c>
      <c r="B76" s="18" t="s">
        <v>244</v>
      </c>
      <c r="C76" s="19">
        <v>1850.91743</v>
      </c>
      <c r="D76" s="21"/>
    </row>
    <row r="77" spans="1:4" ht="15.75" customHeight="1">
      <c r="A77" s="17" t="s">
        <v>21</v>
      </c>
      <c r="B77" s="18" t="s">
        <v>245</v>
      </c>
      <c r="C77" s="19">
        <v>50440.5602</v>
      </c>
      <c r="D77" s="21"/>
    </row>
    <row r="78" spans="1:4" ht="15.75" customHeight="1">
      <c r="A78" s="17" t="s">
        <v>246</v>
      </c>
      <c r="B78" s="18" t="s">
        <v>247</v>
      </c>
      <c r="C78" s="19">
        <v>5414.1209200000003</v>
      </c>
      <c r="D78" s="21"/>
    </row>
    <row r="79" spans="1:4" ht="15.75" customHeight="1">
      <c r="A79" s="17" t="s">
        <v>24</v>
      </c>
      <c r="B79" s="18" t="s">
        <v>248</v>
      </c>
      <c r="C79" s="19">
        <v>40988.639600000002</v>
      </c>
      <c r="D79" s="21"/>
    </row>
    <row r="80" spans="1:4" ht="15.75" customHeight="1">
      <c r="A80" s="17" t="s">
        <v>249</v>
      </c>
      <c r="B80" s="18" t="s">
        <v>250</v>
      </c>
      <c r="C80" s="19">
        <v>67058.202300000004</v>
      </c>
      <c r="D80" s="21"/>
    </row>
    <row r="81" spans="1:4" ht="15.75" customHeight="1">
      <c r="A81" s="17" t="s">
        <v>251</v>
      </c>
      <c r="B81" s="18" t="s">
        <v>252</v>
      </c>
      <c r="C81" s="19">
        <v>3710.1245199999998</v>
      </c>
      <c r="D81" s="21"/>
    </row>
    <row r="82" spans="1:4" ht="15.75" customHeight="1">
      <c r="A82" s="17" t="s">
        <v>64</v>
      </c>
      <c r="B82" s="18" t="s">
        <v>253</v>
      </c>
      <c r="C82" s="19">
        <v>8409.2074100000009</v>
      </c>
      <c r="D82" s="21"/>
    </row>
    <row r="83" spans="1:4" ht="15.75" customHeight="1">
      <c r="A83" s="17" t="s">
        <v>23</v>
      </c>
      <c r="B83" s="18" t="s">
        <v>254</v>
      </c>
      <c r="C83" s="19">
        <v>47057.0432</v>
      </c>
      <c r="D83" s="21"/>
    </row>
    <row r="84" spans="1:4" ht="15.75" customHeight="1">
      <c r="A84" s="17" t="s">
        <v>74</v>
      </c>
      <c r="B84" s="17" t="s">
        <v>255</v>
      </c>
      <c r="C84" s="19">
        <v>6729.8465999999999</v>
      </c>
    </row>
    <row r="85" spans="1:4" ht="15.75" customHeight="1">
      <c r="A85" s="17" t="s">
        <v>110</v>
      </c>
      <c r="B85" s="17" t="s">
        <v>256</v>
      </c>
      <c r="C85" s="19">
        <v>2229.8912300000002</v>
      </c>
    </row>
    <row r="86" spans="1:4" ht="15.75" customHeight="1">
      <c r="A86" s="17" t="s">
        <v>257</v>
      </c>
      <c r="B86" s="17" t="s">
        <v>258</v>
      </c>
      <c r="C86" s="17"/>
    </row>
    <row r="87" spans="1:4" ht="15.75" customHeight="1">
      <c r="A87" s="17" t="s">
        <v>259</v>
      </c>
      <c r="B87" s="17" t="s">
        <v>260</v>
      </c>
      <c r="C87" s="19">
        <v>1416.5961199999999</v>
      </c>
    </row>
    <row r="88" spans="1:4" ht="15.75" customHeight="1">
      <c r="A88" s="17" t="s">
        <v>261</v>
      </c>
      <c r="B88" s="17" t="s">
        <v>262</v>
      </c>
      <c r="C88" s="19">
        <v>836.24487599999998</v>
      </c>
    </row>
    <row r="89" spans="1:4" ht="15.75" customHeight="1">
      <c r="A89" s="17" t="s">
        <v>263</v>
      </c>
      <c r="B89" s="17" t="s">
        <v>264</v>
      </c>
      <c r="C89" s="19">
        <v>883.19913099999997</v>
      </c>
    </row>
    <row r="90" spans="1:4" ht="15.75" customHeight="1">
      <c r="A90" s="17" t="s">
        <v>71</v>
      </c>
      <c r="B90" s="17" t="s">
        <v>265</v>
      </c>
      <c r="C90" s="19">
        <v>7589.2996499999999</v>
      </c>
    </row>
    <row r="91" spans="1:4" ht="15.75" customHeight="1">
      <c r="A91" s="17" t="s">
        <v>41</v>
      </c>
      <c r="B91" s="17" t="s">
        <v>266</v>
      </c>
      <c r="C91" s="19">
        <v>20886.524300000001</v>
      </c>
    </row>
    <row r="92" spans="1:4" ht="15.75" customHeight="1">
      <c r="A92" s="17" t="s">
        <v>267</v>
      </c>
      <c r="B92" s="17" t="s">
        <v>268</v>
      </c>
      <c r="C92" s="19">
        <v>10469.386699999999</v>
      </c>
    </row>
    <row r="93" spans="1:4" ht="15.75" customHeight="1">
      <c r="A93" s="17" t="s">
        <v>269</v>
      </c>
      <c r="B93" s="17" t="s">
        <v>270</v>
      </c>
      <c r="C93" s="19">
        <v>55635.000599999999</v>
      </c>
    </row>
    <row r="94" spans="1:4" ht="15.75" customHeight="1">
      <c r="A94" s="17" t="s">
        <v>82</v>
      </c>
      <c r="B94" s="17" t="s">
        <v>271</v>
      </c>
      <c r="C94" s="19">
        <v>5358.7015700000002</v>
      </c>
    </row>
    <row r="95" spans="1:4" ht="15.75" customHeight="1">
      <c r="A95" s="17" t="s">
        <v>272</v>
      </c>
      <c r="B95" s="17" t="s">
        <v>273</v>
      </c>
      <c r="C95" s="19">
        <v>41833.151700000002</v>
      </c>
    </row>
    <row r="96" spans="1:4" ht="15.75" customHeight="1">
      <c r="A96" s="17" t="s">
        <v>274</v>
      </c>
      <c r="B96" s="17" t="s">
        <v>275</v>
      </c>
      <c r="C96" s="19">
        <v>17913.4928</v>
      </c>
    </row>
    <row r="97" spans="1:3" ht="15.75" customHeight="1">
      <c r="A97" s="17" t="s">
        <v>276</v>
      </c>
      <c r="B97" s="17" t="s">
        <v>277</v>
      </c>
      <c r="C97" s="19">
        <v>46553.114999999998</v>
      </c>
    </row>
    <row r="98" spans="1:3" ht="15.75" customHeight="1">
      <c r="A98" s="17" t="s">
        <v>278</v>
      </c>
      <c r="B98" s="17" t="s">
        <v>279</v>
      </c>
      <c r="C98" s="19">
        <v>48825.8442</v>
      </c>
    </row>
    <row r="99" spans="1:3" ht="15.75" customHeight="1">
      <c r="A99" s="17" t="s">
        <v>101</v>
      </c>
      <c r="B99" s="17" t="s">
        <v>280</v>
      </c>
      <c r="C99" s="19">
        <v>3003.2899699999998</v>
      </c>
    </row>
    <row r="100" spans="1:3" ht="15.75" customHeight="1">
      <c r="A100" s="17" t="s">
        <v>281</v>
      </c>
      <c r="B100" s="17" t="s">
        <v>282</v>
      </c>
      <c r="C100" s="19">
        <v>1121.48387</v>
      </c>
    </row>
    <row r="101" spans="1:3" ht="15.75" customHeight="1">
      <c r="A101" s="17" t="s">
        <v>45</v>
      </c>
      <c r="B101" s="17" t="s">
        <v>283</v>
      </c>
      <c r="C101" s="19">
        <v>18465.541399999998</v>
      </c>
    </row>
    <row r="102" spans="1:3" ht="15.75" customHeight="1">
      <c r="A102" s="17" t="s">
        <v>112</v>
      </c>
      <c r="B102" s="17" t="s">
        <v>284</v>
      </c>
      <c r="C102" s="19">
        <v>1760.62636</v>
      </c>
    </row>
    <row r="103" spans="1:3" ht="15.75" customHeight="1">
      <c r="A103" s="17" t="s">
        <v>46</v>
      </c>
      <c r="B103" s="17" t="s">
        <v>285</v>
      </c>
      <c r="C103" s="19">
        <v>18428.0288</v>
      </c>
    </row>
    <row r="104" spans="1:3" ht="15.75" customHeight="1">
      <c r="A104" s="17" t="s">
        <v>286</v>
      </c>
      <c r="B104" s="17" t="s">
        <v>287</v>
      </c>
      <c r="C104" s="19">
        <v>7699.2325899999996</v>
      </c>
    </row>
    <row r="105" spans="1:3" ht="15.75" customHeight="1">
      <c r="A105" s="17" t="s">
        <v>288</v>
      </c>
      <c r="B105" s="17" t="s">
        <v>289</v>
      </c>
      <c r="C105" s="19">
        <v>6036.8137399999996</v>
      </c>
    </row>
    <row r="106" spans="1:3" ht="15.75" customHeight="1">
      <c r="A106" s="17" t="s">
        <v>290</v>
      </c>
      <c r="B106" s="17" t="s">
        <v>291</v>
      </c>
      <c r="C106" s="19">
        <v>1647.5273199999999</v>
      </c>
    </row>
    <row r="107" spans="1:3" ht="15.75" customHeight="1">
      <c r="A107" s="17" t="s">
        <v>292</v>
      </c>
      <c r="B107" s="17" t="s">
        <v>293</v>
      </c>
      <c r="C107" s="19">
        <v>2234.8361599999998</v>
      </c>
    </row>
    <row r="108" spans="1:3" ht="15.75" customHeight="1">
      <c r="A108" s="17" t="s">
        <v>86</v>
      </c>
      <c r="B108" s="17" t="s">
        <v>294</v>
      </c>
      <c r="C108" s="19">
        <v>4730.8348500000002</v>
      </c>
    </row>
    <row r="109" spans="1:3" ht="15.75" customHeight="1">
      <c r="A109" s="17" t="s">
        <v>295</v>
      </c>
      <c r="B109" s="17" t="s">
        <v>296</v>
      </c>
      <c r="C109" s="19">
        <v>1332.3172999999999</v>
      </c>
    </row>
    <row r="110" spans="1:3" ht="15.75" customHeight="1">
      <c r="A110" s="17" t="s">
        <v>297</v>
      </c>
      <c r="B110" s="17" t="s">
        <v>298</v>
      </c>
      <c r="C110" s="19">
        <v>88328.5481</v>
      </c>
    </row>
    <row r="111" spans="1:3" ht="15.75" customHeight="1">
      <c r="A111" s="17" t="s">
        <v>106</v>
      </c>
      <c r="B111" s="17" t="s">
        <v>299</v>
      </c>
      <c r="C111" s="19">
        <v>2347.4482899999998</v>
      </c>
    </row>
    <row r="112" spans="1:3" ht="15.75" customHeight="1">
      <c r="A112" s="17" t="s">
        <v>300</v>
      </c>
      <c r="B112" s="17" t="s">
        <v>301</v>
      </c>
      <c r="C112" s="17"/>
    </row>
    <row r="113" spans="1:3" ht="15.75" customHeight="1">
      <c r="A113" s="17" t="s">
        <v>8</v>
      </c>
      <c r="B113" s="17" t="s">
        <v>302</v>
      </c>
      <c r="C113" s="19">
        <v>105190.686</v>
      </c>
    </row>
    <row r="114" spans="1:3" ht="15.75" customHeight="1">
      <c r="A114" s="17" t="s">
        <v>87</v>
      </c>
      <c r="B114" s="17" t="s">
        <v>303</v>
      </c>
      <c r="C114" s="19">
        <v>4721.2043700000004</v>
      </c>
    </row>
    <row r="115" spans="1:3" ht="15.75" customHeight="1">
      <c r="A115" s="17" t="s">
        <v>77</v>
      </c>
      <c r="B115" s="17" t="s">
        <v>304</v>
      </c>
      <c r="C115" s="19">
        <v>6520.7315500000004</v>
      </c>
    </row>
    <row r="116" spans="1:3" ht="15.75" customHeight="1">
      <c r="A116" s="17" t="s">
        <v>305</v>
      </c>
      <c r="B116" s="17" t="s">
        <v>306</v>
      </c>
      <c r="C116" s="19">
        <v>76350.455000000002</v>
      </c>
    </row>
    <row r="117" spans="1:3" ht="15.75" customHeight="1">
      <c r="A117" s="17" t="s">
        <v>16</v>
      </c>
      <c r="B117" s="17" t="s">
        <v>307</v>
      </c>
      <c r="C117" s="19">
        <v>54949.621599999999</v>
      </c>
    </row>
    <row r="118" spans="1:3" ht="15.75" customHeight="1">
      <c r="A118" s="17" t="s">
        <v>28</v>
      </c>
      <c r="B118" s="17" t="s">
        <v>308</v>
      </c>
      <c r="C118" s="19">
        <v>35653.904199999997</v>
      </c>
    </row>
    <row r="119" spans="1:3" ht="15.75" customHeight="1">
      <c r="A119" s="17" t="s">
        <v>309</v>
      </c>
      <c r="B119" s="17" t="s">
        <v>310</v>
      </c>
      <c r="C119" s="19">
        <v>6626.4750199999999</v>
      </c>
    </row>
    <row r="120" spans="1:3" ht="15.75" customHeight="1">
      <c r="A120" s="17" t="s">
        <v>89</v>
      </c>
      <c r="B120" s="17" t="s">
        <v>311</v>
      </c>
      <c r="C120" s="19">
        <v>4332.2515999999996</v>
      </c>
    </row>
    <row r="121" spans="1:3" ht="15.75" customHeight="1">
      <c r="A121" s="17" t="s">
        <v>30</v>
      </c>
      <c r="B121" s="17" t="s">
        <v>312</v>
      </c>
      <c r="C121" s="19">
        <v>34065.643900000003</v>
      </c>
    </row>
    <row r="122" spans="1:3" ht="15.75" customHeight="1">
      <c r="A122" s="17" t="s">
        <v>57</v>
      </c>
      <c r="B122" s="17" t="s">
        <v>313</v>
      </c>
      <c r="C122" s="19">
        <v>11255.339599999999</v>
      </c>
    </row>
    <row r="123" spans="1:3" ht="15.75" customHeight="1">
      <c r="A123" s="17" t="s">
        <v>111</v>
      </c>
      <c r="B123" s="17" t="s">
        <v>314</v>
      </c>
      <c r="C123" s="19">
        <v>2109.5628900000002</v>
      </c>
    </row>
    <row r="124" spans="1:3" ht="15.75" customHeight="1">
      <c r="A124" s="17" t="s">
        <v>113</v>
      </c>
      <c r="B124" s="17" t="s">
        <v>315</v>
      </c>
      <c r="C124" s="19">
        <v>1739.72018</v>
      </c>
    </row>
    <row r="125" spans="1:3" ht="15.75" customHeight="1">
      <c r="A125" s="17" t="s">
        <v>108</v>
      </c>
      <c r="B125" s="17" t="s">
        <v>316</v>
      </c>
      <c r="C125" s="19">
        <v>2325.0304999999998</v>
      </c>
    </row>
    <row r="126" spans="1:3" ht="15.75" customHeight="1">
      <c r="A126" s="17" t="s">
        <v>317</v>
      </c>
      <c r="B126" s="17" t="s">
        <v>318</v>
      </c>
      <c r="C126" s="19">
        <v>2069.7671700000001</v>
      </c>
    </row>
    <row r="127" spans="1:3" ht="15.75" customHeight="1">
      <c r="A127" s="17" t="s">
        <v>319</v>
      </c>
      <c r="B127" s="17" t="s">
        <v>320</v>
      </c>
      <c r="C127" s="19">
        <v>21011.574400000001</v>
      </c>
    </row>
    <row r="128" spans="1:3" ht="15.75" customHeight="1">
      <c r="A128" s="17" t="s">
        <v>29</v>
      </c>
      <c r="B128" s="17" t="s">
        <v>321</v>
      </c>
      <c r="C128" s="19">
        <v>34822.404799999997</v>
      </c>
    </row>
    <row r="129" spans="1:3" ht="15.75" customHeight="1">
      <c r="A129" s="17" t="s">
        <v>25</v>
      </c>
      <c r="B129" s="17" t="s">
        <v>322</v>
      </c>
      <c r="C129" s="19">
        <v>39981.769099999998</v>
      </c>
    </row>
    <row r="130" spans="1:3" ht="15.75" customHeight="1">
      <c r="A130" s="17" t="s">
        <v>323</v>
      </c>
      <c r="B130" s="17" t="s">
        <v>324</v>
      </c>
      <c r="C130" s="19">
        <v>9111.3492700000006</v>
      </c>
    </row>
    <row r="131" spans="1:3" ht="15.75" customHeight="1">
      <c r="A131" s="17" t="s">
        <v>325</v>
      </c>
      <c r="B131" s="17" t="s">
        <v>326</v>
      </c>
      <c r="C131" s="19">
        <v>2046.4043999999999</v>
      </c>
    </row>
    <row r="132" spans="1:3" ht="15.75" customHeight="1">
      <c r="A132" s="17" t="s">
        <v>96</v>
      </c>
      <c r="B132" s="17" t="s">
        <v>327</v>
      </c>
      <c r="C132" s="19">
        <v>3654.3584599999999</v>
      </c>
    </row>
    <row r="133" spans="1:3" ht="15.75" customHeight="1">
      <c r="A133" s="17" t="s">
        <v>328</v>
      </c>
      <c r="B133" s="17" t="s">
        <v>329</v>
      </c>
      <c r="C133" s="19">
        <v>744.61717499999997</v>
      </c>
    </row>
    <row r="134" spans="1:3" ht="15.75" customHeight="1">
      <c r="A134" s="17" t="s">
        <v>80</v>
      </c>
      <c r="B134" s="17" t="s">
        <v>330</v>
      </c>
      <c r="C134" s="19">
        <v>5986.6369500000001</v>
      </c>
    </row>
    <row r="135" spans="1:3" ht="15.75" customHeight="1">
      <c r="A135" s="17" t="s">
        <v>331</v>
      </c>
      <c r="B135" s="17" t="s">
        <v>332</v>
      </c>
      <c r="C135" s="19">
        <v>13103.8243</v>
      </c>
    </row>
    <row r="136" spans="1:3" ht="15.75" customHeight="1">
      <c r="A136" s="17" t="s">
        <v>333</v>
      </c>
      <c r="B136" s="17" t="s">
        <v>334</v>
      </c>
      <c r="C136" s="19">
        <v>9408.8482000000004</v>
      </c>
    </row>
    <row r="137" spans="1:3" ht="15.75" customHeight="1">
      <c r="A137" s="17" t="s">
        <v>335</v>
      </c>
      <c r="B137" s="17" t="s">
        <v>336</v>
      </c>
      <c r="C137" s="19">
        <v>1299.3617200000001</v>
      </c>
    </row>
    <row r="138" spans="1:3" ht="15.75" customHeight="1">
      <c r="A138" s="17" t="s">
        <v>337</v>
      </c>
      <c r="B138" s="17" t="s">
        <v>338</v>
      </c>
      <c r="C138" s="19">
        <v>734.20411799999999</v>
      </c>
    </row>
    <row r="139" spans="1:3" ht="15.75" customHeight="1">
      <c r="A139" s="17" t="s">
        <v>339</v>
      </c>
      <c r="B139" s="17" t="s">
        <v>340</v>
      </c>
      <c r="C139" s="19">
        <v>188055.003</v>
      </c>
    </row>
    <row r="140" spans="1:3" ht="15.75" customHeight="1">
      <c r="A140" s="17" t="s">
        <v>99</v>
      </c>
      <c r="B140" s="17" t="s">
        <v>341</v>
      </c>
      <c r="C140" s="19">
        <v>3342.6365000000001</v>
      </c>
    </row>
    <row r="141" spans="1:3" ht="15.75" customHeight="1">
      <c r="A141" s="17" t="s">
        <v>342</v>
      </c>
      <c r="B141" s="17" t="s">
        <v>343</v>
      </c>
      <c r="C141" s="19">
        <v>2493.6148699999999</v>
      </c>
    </row>
    <row r="142" spans="1:3" ht="15.75" customHeight="1">
      <c r="A142" s="17" t="s">
        <v>344</v>
      </c>
      <c r="B142" s="17" t="s">
        <v>345</v>
      </c>
      <c r="C142" s="19">
        <v>5741.7838199999997</v>
      </c>
    </row>
    <row r="143" spans="1:3" ht="15.75" customHeight="1">
      <c r="A143" s="17" t="s">
        <v>346</v>
      </c>
      <c r="B143" s="17" t="s">
        <v>347</v>
      </c>
      <c r="C143" s="19">
        <v>1030.12583</v>
      </c>
    </row>
    <row r="144" spans="1:3" ht="15.75" customHeight="1">
      <c r="A144" s="17" t="s">
        <v>348</v>
      </c>
      <c r="B144" s="17" t="s">
        <v>349</v>
      </c>
      <c r="C144" s="19">
        <v>12286.084699999999</v>
      </c>
    </row>
    <row r="145" spans="1:3" ht="15.75" customHeight="1">
      <c r="A145" s="17" t="s">
        <v>37</v>
      </c>
      <c r="B145" s="17" t="s">
        <v>350</v>
      </c>
      <c r="C145" s="19">
        <v>25085.784100000001</v>
      </c>
    </row>
    <row r="146" spans="1:3" ht="15.75" customHeight="1">
      <c r="A146" s="17" t="s">
        <v>351</v>
      </c>
      <c r="B146" s="17" t="s">
        <v>352</v>
      </c>
      <c r="C146" s="19">
        <v>123719.659</v>
      </c>
    </row>
    <row r="147" spans="1:3" ht="15.75" customHeight="1">
      <c r="A147" s="17" t="s">
        <v>43</v>
      </c>
      <c r="B147" s="17" t="s">
        <v>353</v>
      </c>
      <c r="C147" s="19">
        <v>20221.1037</v>
      </c>
    </row>
    <row r="148" spans="1:3" ht="15.75" customHeight="1">
      <c r="A148" s="17" t="s">
        <v>354</v>
      </c>
      <c r="B148" s="17" t="s">
        <v>355</v>
      </c>
      <c r="C148" s="19">
        <v>36806.891300000003</v>
      </c>
    </row>
    <row r="149" spans="1:3" ht="15.75" customHeight="1">
      <c r="A149" s="17" t="s">
        <v>356</v>
      </c>
      <c r="B149" s="17" t="s">
        <v>357</v>
      </c>
      <c r="C149" s="17"/>
    </row>
    <row r="150" spans="1:3" ht="15.75" customHeight="1">
      <c r="A150" s="17" t="s">
        <v>98</v>
      </c>
      <c r="B150" s="17" t="s">
        <v>358</v>
      </c>
      <c r="C150" s="19">
        <v>3463.1377000000002</v>
      </c>
    </row>
    <row r="151" spans="1:3" ht="15.75" customHeight="1">
      <c r="A151" s="17" t="s">
        <v>359</v>
      </c>
      <c r="B151" s="17" t="s">
        <v>360</v>
      </c>
      <c r="C151" s="19">
        <v>226052.00200000001</v>
      </c>
    </row>
    <row r="152" spans="1:3" ht="15.75" customHeight="1">
      <c r="A152" s="17" t="s">
        <v>81</v>
      </c>
      <c r="B152" s="17" t="s">
        <v>361</v>
      </c>
      <c r="C152" s="19">
        <v>5744.2961800000003</v>
      </c>
    </row>
    <row r="153" spans="1:3" ht="15.75" customHeight="1">
      <c r="A153" s="17" t="s">
        <v>27</v>
      </c>
      <c r="B153" s="17" t="s">
        <v>362</v>
      </c>
      <c r="C153" s="19">
        <v>503.51453299999997</v>
      </c>
    </row>
    <row r="154" spans="1:3" ht="15.75" customHeight="1">
      <c r="A154" s="17" t="s">
        <v>363</v>
      </c>
      <c r="B154" s="17" t="s">
        <v>364</v>
      </c>
      <c r="C154" s="19">
        <v>11786.0191</v>
      </c>
    </row>
    <row r="155" spans="1:3" ht="15.75" customHeight="1">
      <c r="A155" s="17" t="s">
        <v>365</v>
      </c>
      <c r="B155" s="17" t="s">
        <v>366</v>
      </c>
      <c r="C155" s="19">
        <v>6430.5355300000001</v>
      </c>
    </row>
    <row r="156" spans="1:3" ht="15.75" customHeight="1">
      <c r="A156" s="17" t="s">
        <v>56</v>
      </c>
      <c r="B156" s="17" t="s">
        <v>367</v>
      </c>
      <c r="C156" s="19">
        <v>11405.794</v>
      </c>
    </row>
    <row r="157" spans="1:3" ht="15.75" customHeight="1">
      <c r="A157" s="17" t="s">
        <v>368</v>
      </c>
      <c r="B157" s="17" t="s">
        <v>369</v>
      </c>
      <c r="C157" s="19">
        <v>6455.6606199999997</v>
      </c>
    </row>
    <row r="158" spans="1:3" ht="15.75" customHeight="1">
      <c r="A158" s="17" t="s">
        <v>370</v>
      </c>
      <c r="B158" s="17" t="s">
        <v>371</v>
      </c>
      <c r="C158" s="19">
        <v>6248.0096199999998</v>
      </c>
    </row>
    <row r="159" spans="1:3" ht="15.75" customHeight="1">
      <c r="A159" s="17" t="s">
        <v>70</v>
      </c>
      <c r="B159" s="17" t="s">
        <v>372</v>
      </c>
      <c r="C159" s="19">
        <v>7606.2375300000003</v>
      </c>
    </row>
    <row r="160" spans="1:3" ht="15.75" customHeight="1">
      <c r="A160" s="17" t="s">
        <v>373</v>
      </c>
      <c r="B160" s="17" t="s">
        <v>374</v>
      </c>
      <c r="C160" s="19">
        <v>976.91411600000004</v>
      </c>
    </row>
    <row r="161" spans="1:3" ht="15.75" customHeight="1">
      <c r="A161" s="17" t="s">
        <v>375</v>
      </c>
      <c r="B161" s="17" t="s">
        <v>376</v>
      </c>
      <c r="C161" s="19">
        <v>35638.886899999998</v>
      </c>
    </row>
    <row r="162" spans="1:3" ht="15.75" customHeight="1">
      <c r="A162" s="17" t="s">
        <v>377</v>
      </c>
      <c r="B162" s="17" t="s">
        <v>378</v>
      </c>
      <c r="C162" s="19">
        <v>1158.0500500000001</v>
      </c>
    </row>
    <row r="163" spans="1:3" ht="15.75" customHeight="1">
      <c r="A163" s="17" t="s">
        <v>379</v>
      </c>
      <c r="B163" s="17" t="s">
        <v>380</v>
      </c>
      <c r="C163" s="19">
        <v>3015.7557999999999</v>
      </c>
    </row>
    <row r="164" spans="1:3" ht="15.75" customHeight="1">
      <c r="A164" s="17" t="s">
        <v>62</v>
      </c>
      <c r="B164" s="17" t="s">
        <v>381</v>
      </c>
      <c r="C164" s="19">
        <v>10024.543600000001</v>
      </c>
    </row>
    <row r="165" spans="1:3" ht="15.75" customHeight="1">
      <c r="A165" s="17" t="s">
        <v>84</v>
      </c>
      <c r="B165" s="17" t="s">
        <v>382</v>
      </c>
      <c r="C165" s="19">
        <v>4993.51487</v>
      </c>
    </row>
    <row r="166" spans="1:3" ht="15.75" customHeight="1">
      <c r="A166" s="17" t="s">
        <v>383</v>
      </c>
      <c r="B166" s="17" t="s">
        <v>384</v>
      </c>
      <c r="C166" s="19">
        <v>23785.7546</v>
      </c>
    </row>
    <row r="167" spans="1:3" ht="15.75" customHeight="1">
      <c r="A167" s="17" t="s">
        <v>131</v>
      </c>
      <c r="B167" s="17" t="s">
        <v>385</v>
      </c>
      <c r="C167" s="19">
        <v>578.25166400000001</v>
      </c>
    </row>
    <row r="168" spans="1:3" ht="15.75" customHeight="1">
      <c r="A168" s="17" t="s">
        <v>386</v>
      </c>
      <c r="B168" s="17" t="s">
        <v>387</v>
      </c>
      <c r="C168" s="19">
        <v>1960.3524</v>
      </c>
    </row>
    <row r="169" spans="1:3" ht="15.75" customHeight="1">
      <c r="A169" s="17" t="s">
        <v>59</v>
      </c>
      <c r="B169" s="17" t="s">
        <v>388</v>
      </c>
      <c r="C169" s="19">
        <v>10246.501700000001</v>
      </c>
    </row>
    <row r="170" spans="1:3" ht="15.75" customHeight="1">
      <c r="A170" s="17" t="s">
        <v>389</v>
      </c>
      <c r="B170" s="17" t="s">
        <v>390</v>
      </c>
      <c r="C170" s="19">
        <v>604.26973999999996</v>
      </c>
    </row>
    <row r="171" spans="1:3" ht="15.75" customHeight="1">
      <c r="A171" s="17" t="s">
        <v>55</v>
      </c>
      <c r="B171" s="17" t="s">
        <v>391</v>
      </c>
      <c r="C171" s="19">
        <v>11754.567800000001</v>
      </c>
    </row>
    <row r="172" spans="1:3" ht="15.75" customHeight="1">
      <c r="A172" s="17" t="s">
        <v>392</v>
      </c>
      <c r="B172" s="17" t="s">
        <v>393</v>
      </c>
      <c r="C172" s="19">
        <v>74535.636499999993</v>
      </c>
    </row>
    <row r="173" spans="1:3" ht="15.75" customHeight="1">
      <c r="A173" s="17" t="s">
        <v>88</v>
      </c>
      <c r="B173" s="17" t="s">
        <v>394</v>
      </c>
      <c r="C173" s="19">
        <v>4349.7990799999998</v>
      </c>
    </row>
    <row r="174" spans="1:3" ht="15.75" customHeight="1">
      <c r="A174" s="17" t="s">
        <v>395</v>
      </c>
      <c r="B174" s="17" t="s">
        <v>396</v>
      </c>
      <c r="C174" s="19">
        <v>33516.363100000002</v>
      </c>
    </row>
    <row r="175" spans="1:3" ht="15.75" customHeight="1">
      <c r="A175" s="17" t="s">
        <v>130</v>
      </c>
      <c r="B175" s="17" t="s">
        <v>397</v>
      </c>
      <c r="C175" s="19">
        <v>609.74514799999997</v>
      </c>
    </row>
    <row r="176" spans="1:3" ht="15.75" customHeight="1">
      <c r="A176" s="17" t="s">
        <v>398</v>
      </c>
      <c r="B176" s="17" t="s">
        <v>399</v>
      </c>
      <c r="C176" s="19">
        <v>2899.1604699999998</v>
      </c>
    </row>
    <row r="177" spans="1:3" ht="15.75" customHeight="1">
      <c r="A177" s="17" t="s">
        <v>109</v>
      </c>
      <c r="B177" s="17" t="s">
        <v>400</v>
      </c>
      <c r="C177" s="19">
        <v>2322.8905399999999</v>
      </c>
    </row>
    <row r="178" spans="1:3" ht="15.75" customHeight="1">
      <c r="A178" s="17" t="s">
        <v>14</v>
      </c>
      <c r="B178" s="17" t="s">
        <v>401</v>
      </c>
      <c r="C178" s="19">
        <v>59123.318599999999</v>
      </c>
    </row>
    <row r="179" spans="1:3" ht="15.75" customHeight="1">
      <c r="A179" s="17" t="s">
        <v>7</v>
      </c>
      <c r="B179" s="17" t="s">
        <v>402</v>
      </c>
      <c r="C179" s="19">
        <v>109269.52099999999</v>
      </c>
    </row>
    <row r="180" spans="1:3" ht="15.75" customHeight="1">
      <c r="A180" s="17" t="s">
        <v>118</v>
      </c>
      <c r="B180" s="17" t="s">
        <v>403</v>
      </c>
      <c r="C180" s="19">
        <v>1385.91066</v>
      </c>
    </row>
    <row r="181" spans="1:3" ht="15.75" customHeight="1">
      <c r="A181" s="17" t="s">
        <v>404</v>
      </c>
      <c r="B181" s="17" t="s">
        <v>405</v>
      </c>
      <c r="C181" s="19">
        <v>12911.908600000001</v>
      </c>
    </row>
    <row r="182" spans="1:3" ht="15.75" customHeight="1">
      <c r="A182" s="17" t="s">
        <v>22</v>
      </c>
      <c r="B182" s="17" t="s">
        <v>406</v>
      </c>
      <c r="C182" s="19">
        <v>49099.709000000003</v>
      </c>
    </row>
    <row r="183" spans="1:3" ht="15.75" customHeight="1">
      <c r="A183" s="17" t="s">
        <v>407</v>
      </c>
      <c r="B183" s="17" t="s">
        <v>408</v>
      </c>
      <c r="C183" s="19">
        <v>43950.173699999999</v>
      </c>
    </row>
    <row r="184" spans="1:3" ht="15.75" customHeight="1">
      <c r="A184" s="17" t="s">
        <v>39</v>
      </c>
      <c r="B184" s="17" t="s">
        <v>409</v>
      </c>
      <c r="C184" s="19">
        <v>23223.582900000001</v>
      </c>
    </row>
    <row r="185" spans="1:3" ht="15.75" customHeight="1">
      <c r="A185" s="17" t="s">
        <v>410</v>
      </c>
      <c r="B185" s="17" t="s">
        <v>411</v>
      </c>
      <c r="C185" s="19">
        <v>14320.770699999999</v>
      </c>
    </row>
    <row r="186" spans="1:3" ht="15.75" customHeight="1">
      <c r="A186" s="17" t="s">
        <v>116</v>
      </c>
      <c r="B186" s="17" t="s">
        <v>412</v>
      </c>
      <c r="C186" s="19">
        <v>1538.3228099999999</v>
      </c>
    </row>
    <row r="187" spans="1:3" ht="15.75" customHeight="1">
      <c r="A187" s="17" t="s">
        <v>47</v>
      </c>
      <c r="B187" s="17" t="s">
        <v>413</v>
      </c>
      <c r="C187" s="19">
        <v>17378.607</v>
      </c>
    </row>
    <row r="188" spans="1:3" ht="15.75" customHeight="1">
      <c r="A188" s="17" t="s">
        <v>72</v>
      </c>
      <c r="B188" s="17" t="s">
        <v>414</v>
      </c>
      <c r="C188" s="19">
        <v>7350.6303399999997</v>
      </c>
    </row>
    <row r="189" spans="1:3" ht="15.75" customHeight="1">
      <c r="A189" s="17" t="s">
        <v>97</v>
      </c>
      <c r="B189" s="17" t="s">
        <v>415</v>
      </c>
      <c r="C189" s="19">
        <v>3548.0693099999999</v>
      </c>
    </row>
    <row r="190" spans="1:3" ht="15.75" customHeight="1">
      <c r="A190" s="17" t="s">
        <v>416</v>
      </c>
      <c r="B190" s="17" t="s">
        <v>417</v>
      </c>
      <c r="C190" s="19">
        <v>13729.7603</v>
      </c>
    </row>
    <row r="191" spans="1:3" ht="15.75" customHeight="1">
      <c r="A191" s="17" t="s">
        <v>418</v>
      </c>
      <c r="B191" s="17" t="s">
        <v>419</v>
      </c>
      <c r="C191" s="19">
        <v>3102.2896900000001</v>
      </c>
    </row>
    <row r="192" spans="1:3" ht="15.75" customHeight="1">
      <c r="A192" s="17" t="s">
        <v>44</v>
      </c>
      <c r="B192" s="17" t="s">
        <v>420</v>
      </c>
      <c r="C192" s="19">
        <v>18891.212100000001</v>
      </c>
    </row>
    <row r="193" spans="1:3" ht="15.75" customHeight="1">
      <c r="A193" s="17" t="s">
        <v>421</v>
      </c>
      <c r="B193" s="17" t="s">
        <v>422</v>
      </c>
      <c r="C193" s="19">
        <v>1770.15579</v>
      </c>
    </row>
    <row r="194" spans="1:3" ht="15.75" customHeight="1">
      <c r="A194" s="17" t="s">
        <v>423</v>
      </c>
      <c r="B194" s="17" t="s">
        <v>424</v>
      </c>
      <c r="C194" s="19">
        <v>35353.682200000003</v>
      </c>
    </row>
    <row r="195" spans="1:3" ht="15.75" customHeight="1">
      <c r="A195" s="17" t="s">
        <v>425</v>
      </c>
      <c r="B195" s="17" t="s">
        <v>426</v>
      </c>
      <c r="C195" s="17"/>
    </row>
    <row r="196" spans="1:3" ht="15.75" customHeight="1">
      <c r="A196" s="17" t="s">
        <v>38</v>
      </c>
      <c r="B196" s="17" t="s">
        <v>427</v>
      </c>
      <c r="C196" s="19">
        <v>24620.519799999998</v>
      </c>
    </row>
    <row r="197" spans="1:3" ht="15.75" customHeight="1">
      <c r="A197" s="17" t="s">
        <v>79</v>
      </c>
      <c r="B197" s="17" t="s">
        <v>428</v>
      </c>
      <c r="C197" s="19">
        <v>6205.6259499999996</v>
      </c>
    </row>
    <row r="198" spans="1:3" ht="15.75" customHeight="1">
      <c r="A198" s="17" t="s">
        <v>429</v>
      </c>
      <c r="B198" s="17" t="s">
        <v>430</v>
      </c>
      <c r="C198" s="19">
        <v>3799.9552699999999</v>
      </c>
    </row>
    <row r="199" spans="1:3" ht="15.75" customHeight="1">
      <c r="A199" s="17" t="s">
        <v>431</v>
      </c>
      <c r="B199" s="17" t="s">
        <v>432</v>
      </c>
      <c r="C199" s="19">
        <v>3896.81061</v>
      </c>
    </row>
    <row r="200" spans="1:3" ht="15.75" customHeight="1">
      <c r="A200" s="17" t="s">
        <v>433</v>
      </c>
      <c r="B200" s="17" t="s">
        <v>434</v>
      </c>
      <c r="C200" s="19">
        <v>50969.801599999999</v>
      </c>
    </row>
    <row r="201" spans="1:3" ht="15.75" customHeight="1">
      <c r="A201" s="17" t="s">
        <v>435</v>
      </c>
      <c r="B201" s="17" t="s">
        <v>436</v>
      </c>
      <c r="C201" s="19">
        <v>20053.956900000001</v>
      </c>
    </row>
    <row r="202" spans="1:3" ht="15.75" customHeight="1">
      <c r="A202" s="17" t="s">
        <v>10</v>
      </c>
      <c r="B202" s="17" t="s">
        <v>437</v>
      </c>
      <c r="C202" s="19">
        <v>88701.468999999997</v>
      </c>
    </row>
    <row r="203" spans="1:3" ht="15.75" customHeight="1">
      <c r="A203" s="17" t="s">
        <v>49</v>
      </c>
      <c r="B203" s="17" t="s">
        <v>438</v>
      </c>
      <c r="C203" s="19">
        <v>15503.551799999999</v>
      </c>
    </row>
    <row r="204" spans="1:3" ht="15.75" customHeight="1">
      <c r="A204" s="17" t="s">
        <v>48</v>
      </c>
      <c r="B204" s="17" t="s">
        <v>439</v>
      </c>
      <c r="C204" s="19">
        <v>15619.614299999999</v>
      </c>
    </row>
    <row r="205" spans="1:3" ht="15.75" customHeight="1">
      <c r="A205" s="17" t="s">
        <v>124</v>
      </c>
      <c r="B205" s="17" t="s">
        <v>440</v>
      </c>
      <c r="C205" s="19">
        <v>975.46932400000003</v>
      </c>
    </row>
    <row r="206" spans="1:3" ht="15.75" customHeight="1">
      <c r="A206" s="17" t="s">
        <v>441</v>
      </c>
      <c r="B206" s="17" t="s">
        <v>442</v>
      </c>
      <c r="C206" s="19">
        <v>2385.0834199999999</v>
      </c>
    </row>
    <row r="207" spans="1:3" ht="15.75" customHeight="1">
      <c r="A207" s="17" t="s">
        <v>443</v>
      </c>
      <c r="B207" s="17" t="s">
        <v>444</v>
      </c>
      <c r="C207" s="19">
        <v>38510.227599999998</v>
      </c>
    </row>
    <row r="208" spans="1:3" ht="15.75" customHeight="1">
      <c r="A208" s="17" t="s">
        <v>122</v>
      </c>
      <c r="B208" s="17" t="s">
        <v>445</v>
      </c>
      <c r="C208" s="19">
        <v>1046.2408399999999</v>
      </c>
    </row>
    <row r="209" spans="1:3" ht="15.75" customHeight="1">
      <c r="A209" s="17" t="s">
        <v>115</v>
      </c>
      <c r="B209" s="17" t="s">
        <v>446</v>
      </c>
      <c r="C209" s="19">
        <v>1574.02811</v>
      </c>
    </row>
    <row r="210" spans="1:3" ht="15.75" customHeight="1">
      <c r="A210" s="17" t="s">
        <v>447</v>
      </c>
      <c r="B210" s="17" t="s">
        <v>448</v>
      </c>
      <c r="C210" s="19">
        <v>90299.069499999998</v>
      </c>
    </row>
    <row r="211" spans="1:3" ht="15.75" customHeight="1">
      <c r="A211" s="17" t="s">
        <v>449</v>
      </c>
      <c r="B211" s="17" t="s">
        <v>450</v>
      </c>
      <c r="C211" s="19">
        <v>1877.7810400000001</v>
      </c>
    </row>
    <row r="212" spans="1:3" ht="15.75" customHeight="1">
      <c r="A212" s="17" t="s">
        <v>451</v>
      </c>
      <c r="B212" s="17" t="s">
        <v>452</v>
      </c>
      <c r="C212" s="19">
        <v>860.37106800000004</v>
      </c>
    </row>
    <row r="213" spans="1:3" ht="15.75" customHeight="1">
      <c r="A213" s="17" t="s">
        <v>83</v>
      </c>
      <c r="B213" s="17" t="s">
        <v>453</v>
      </c>
      <c r="C213" s="19">
        <v>5074.6021000000001</v>
      </c>
    </row>
    <row r="214" spans="1:3" ht="15.75" customHeight="1">
      <c r="A214" s="17" t="s">
        <v>454</v>
      </c>
      <c r="B214" s="17" t="s">
        <v>455</v>
      </c>
      <c r="C214" s="19">
        <v>54190.841800000002</v>
      </c>
    </row>
    <row r="215" spans="1:3" ht="15.75" customHeight="1">
      <c r="A215" s="17" t="s">
        <v>456</v>
      </c>
      <c r="B215" s="17" t="s">
        <v>457</v>
      </c>
      <c r="C215" s="19">
        <v>573.141166</v>
      </c>
    </row>
    <row r="216" spans="1:3" ht="15.75" customHeight="1">
      <c r="A216" s="17" t="s">
        <v>61</v>
      </c>
      <c r="B216" s="17" t="s">
        <v>458</v>
      </c>
      <c r="C216" s="19">
        <v>10024.819100000001</v>
      </c>
    </row>
    <row r="217" spans="1:3" ht="15.75" customHeight="1">
      <c r="A217" s="17" t="s">
        <v>459</v>
      </c>
      <c r="B217" s="17" t="s">
        <v>460</v>
      </c>
      <c r="C217" s="19">
        <v>1963.8033</v>
      </c>
    </row>
    <row r="218" spans="1:3" ht="15.75" customHeight="1">
      <c r="A218" s="17" t="s">
        <v>461</v>
      </c>
      <c r="B218" s="17" t="s">
        <v>462</v>
      </c>
      <c r="C218" s="17"/>
    </row>
    <row r="219" spans="1:3" ht="15.75" customHeight="1">
      <c r="A219" s="17" t="s">
        <v>463</v>
      </c>
      <c r="B219" s="17" t="s">
        <v>464</v>
      </c>
      <c r="C219" s="19">
        <v>1865.11635</v>
      </c>
    </row>
    <row r="220" spans="1:3" ht="15.75" customHeight="1">
      <c r="A220" s="17" t="s">
        <v>465</v>
      </c>
      <c r="B220" s="17" t="s">
        <v>466</v>
      </c>
      <c r="C220" s="19">
        <v>13636.4661</v>
      </c>
    </row>
    <row r="221" spans="1:3" ht="15.75" customHeight="1">
      <c r="A221" s="17" t="s">
        <v>467</v>
      </c>
      <c r="B221" s="17" t="s">
        <v>468</v>
      </c>
      <c r="C221" s="19">
        <v>2389.7372999999998</v>
      </c>
    </row>
    <row r="222" spans="1:3" ht="15.75" customHeight="1">
      <c r="A222" s="17" t="s">
        <v>469</v>
      </c>
      <c r="B222" s="17" t="s">
        <v>470</v>
      </c>
      <c r="C222" s="19">
        <v>6084.4387699999997</v>
      </c>
    </row>
    <row r="223" spans="1:3" ht="15.75" customHeight="1">
      <c r="A223" s="17" t="s">
        <v>40</v>
      </c>
      <c r="B223" s="17" t="s">
        <v>471</v>
      </c>
      <c r="C223" s="19">
        <v>21317.794399999999</v>
      </c>
    </row>
    <row r="224" spans="1:3" ht="15.75" customHeight="1">
      <c r="A224" s="17" t="s">
        <v>34</v>
      </c>
      <c r="B224" s="17" t="s">
        <v>472</v>
      </c>
      <c r="C224" s="19">
        <v>28360.304100000001</v>
      </c>
    </row>
    <row r="225" spans="1:3" ht="15.75" customHeight="1">
      <c r="A225" s="17" t="s">
        <v>17</v>
      </c>
      <c r="B225" s="17" t="s">
        <v>473</v>
      </c>
      <c r="C225" s="19">
        <v>54836.890700000004</v>
      </c>
    </row>
    <row r="226" spans="1:3" ht="15.75" customHeight="1">
      <c r="A226" s="17" t="s">
        <v>93</v>
      </c>
      <c r="B226" s="17" t="s">
        <v>474</v>
      </c>
      <c r="C226" s="19">
        <v>3894.16201</v>
      </c>
    </row>
    <row r="227" spans="1:3" ht="15.75" customHeight="1">
      <c r="A227" s="17" t="s">
        <v>475</v>
      </c>
      <c r="B227" s="17" t="s">
        <v>476</v>
      </c>
      <c r="C227" s="19">
        <v>37793.128400000001</v>
      </c>
    </row>
    <row r="228" spans="1:3" ht="15.75" customHeight="1">
      <c r="A228" s="17" t="s">
        <v>477</v>
      </c>
      <c r="B228" s="17" t="s">
        <v>478</v>
      </c>
      <c r="C228" s="19">
        <v>16836.672200000001</v>
      </c>
    </row>
    <row r="229" spans="1:3" ht="15.75" customHeight="1">
      <c r="A229" s="17" t="s">
        <v>479</v>
      </c>
      <c r="B229" s="17" t="s">
        <v>480</v>
      </c>
      <c r="C229" s="19">
        <v>1051.6714999999999</v>
      </c>
    </row>
    <row r="230" spans="1:3" ht="15.75" customHeight="1">
      <c r="A230" s="17" t="s">
        <v>481</v>
      </c>
      <c r="B230" s="17" t="s">
        <v>482</v>
      </c>
      <c r="C230" s="19">
        <v>31280.541799999999</v>
      </c>
    </row>
    <row r="231" spans="1:3" ht="15.75" customHeight="1">
      <c r="A231" s="17" t="s">
        <v>125</v>
      </c>
      <c r="B231" s="17" t="s">
        <v>483</v>
      </c>
      <c r="C231" s="19">
        <v>966.03646800000001</v>
      </c>
    </row>
    <row r="232" spans="1:3" ht="15.75" customHeight="1">
      <c r="A232" s="17" t="s">
        <v>484</v>
      </c>
      <c r="B232" s="17" t="s">
        <v>485</v>
      </c>
      <c r="C232" s="19">
        <v>10220.4774</v>
      </c>
    </row>
    <row r="233" spans="1:3" ht="15.75" customHeight="1">
      <c r="A233" s="17" t="s">
        <v>486</v>
      </c>
      <c r="B233" s="17" t="s">
        <v>487</v>
      </c>
      <c r="C233" s="19">
        <v>11421.136399999999</v>
      </c>
    </row>
    <row r="234" spans="1:3" ht="15.75" customHeight="1">
      <c r="A234" s="17" t="s">
        <v>127</v>
      </c>
      <c r="B234" s="17" t="s">
        <v>488</v>
      </c>
      <c r="C234" s="19">
        <v>951.23237900000004</v>
      </c>
    </row>
    <row r="235" spans="1:3" ht="15.75" customHeight="1">
      <c r="A235" s="17" t="s">
        <v>73</v>
      </c>
      <c r="B235" s="17" t="s">
        <v>489</v>
      </c>
      <c r="C235" s="19">
        <v>6909.3528200000001</v>
      </c>
    </row>
    <row r="236" spans="1:3" ht="15.75" customHeight="1">
      <c r="A236" s="17" t="s">
        <v>121</v>
      </c>
      <c r="B236" s="17" t="s">
        <v>490</v>
      </c>
      <c r="C236" s="19">
        <v>1052.17949</v>
      </c>
    </row>
    <row r="237" spans="1:3" ht="15.75" customHeight="1">
      <c r="A237" s="17" t="s">
        <v>491</v>
      </c>
      <c r="B237" s="17" t="s">
        <v>492</v>
      </c>
      <c r="C237" s="19">
        <v>5837.8422499999997</v>
      </c>
    </row>
    <row r="238" spans="1:3" ht="15.75" customHeight="1">
      <c r="A238" s="17" t="s">
        <v>493</v>
      </c>
      <c r="B238" s="17" t="s">
        <v>494</v>
      </c>
      <c r="C238" s="19">
        <v>9174.5568999999996</v>
      </c>
    </row>
    <row r="239" spans="1:3" ht="15.75" customHeight="1">
      <c r="A239" s="17" t="s">
        <v>495</v>
      </c>
      <c r="B239" s="17" t="s">
        <v>496</v>
      </c>
      <c r="C239" s="19">
        <v>2343.24955</v>
      </c>
    </row>
    <row r="240" spans="1:3" ht="15.75" customHeight="1">
      <c r="A240" s="17" t="s">
        <v>497</v>
      </c>
      <c r="B240" s="17" t="s">
        <v>498</v>
      </c>
      <c r="C240" s="19">
        <v>3010.1965700000001</v>
      </c>
    </row>
    <row r="241" spans="1:3" ht="15.75" customHeight="1">
      <c r="A241" s="17" t="s">
        <v>499</v>
      </c>
      <c r="B241" s="17" t="s">
        <v>500</v>
      </c>
      <c r="C241" s="19">
        <v>5298.0194199999996</v>
      </c>
    </row>
    <row r="242" spans="1:3" ht="15.75" customHeight="1">
      <c r="A242" s="17" t="s">
        <v>501</v>
      </c>
      <c r="B242" s="17" t="s">
        <v>502</v>
      </c>
      <c r="C242" s="19">
        <v>2385.0834199999999</v>
      </c>
    </row>
    <row r="243" spans="1:3" ht="15.75" customHeight="1">
      <c r="A243" s="17" t="s">
        <v>503</v>
      </c>
      <c r="B243" s="17" t="s">
        <v>504</v>
      </c>
      <c r="C243" s="19">
        <v>1865.11635</v>
      </c>
    </row>
    <row r="244" spans="1:3" ht="15.75" customHeight="1">
      <c r="A244" s="17" t="s">
        <v>505</v>
      </c>
      <c r="B244" s="17" t="s">
        <v>506</v>
      </c>
      <c r="C244" s="19">
        <v>20750.520199999999</v>
      </c>
    </row>
    <row r="245" spans="1:3" ht="15.75" customHeight="1">
      <c r="A245" s="17" t="s">
        <v>94</v>
      </c>
      <c r="B245" s="17" t="s">
        <v>507</v>
      </c>
      <c r="C245" s="19">
        <v>3707.2928299999999</v>
      </c>
    </row>
    <row r="246" spans="1:3" ht="15.75" customHeight="1">
      <c r="A246" s="17" t="s">
        <v>58</v>
      </c>
      <c r="B246" s="17" t="s">
        <v>508</v>
      </c>
      <c r="C246" s="19">
        <v>10897.8398</v>
      </c>
    </row>
    <row r="247" spans="1:3" ht="15.75" customHeight="1">
      <c r="A247" s="17" t="s">
        <v>509</v>
      </c>
      <c r="B247" s="17" t="s">
        <v>510</v>
      </c>
      <c r="C247" s="19">
        <v>5911.3272699999998</v>
      </c>
    </row>
    <row r="248" spans="1:3" ht="15.75" customHeight="1">
      <c r="A248" s="17" t="s">
        <v>120</v>
      </c>
      <c r="B248" s="17" t="s">
        <v>511</v>
      </c>
      <c r="C248" s="19">
        <v>1207.52063</v>
      </c>
    </row>
    <row r="249" spans="1:3" ht="15.75" customHeight="1">
      <c r="A249" s="17" t="s">
        <v>126</v>
      </c>
      <c r="B249" s="17" t="s">
        <v>512</v>
      </c>
      <c r="C249" s="19">
        <v>963.06731400000001</v>
      </c>
    </row>
    <row r="250" spans="1:3" ht="15.75" customHeight="1">
      <c r="A250" s="17" t="s">
        <v>91</v>
      </c>
      <c r="B250" s="17" t="s">
        <v>513</v>
      </c>
      <c r="C250" s="19">
        <v>4199.6709000000001</v>
      </c>
    </row>
    <row r="251" spans="1:3" ht="15.75" customHeight="1">
      <c r="A251" s="17" t="s">
        <v>514</v>
      </c>
      <c r="B251" s="17" t="s">
        <v>515</v>
      </c>
      <c r="C251" s="19">
        <v>10324.5193</v>
      </c>
    </row>
    <row r="252" spans="1:3" ht="15.75" customHeight="1">
      <c r="A252" s="17" t="s">
        <v>42</v>
      </c>
      <c r="B252" s="17" t="s">
        <v>516</v>
      </c>
      <c r="C252" s="19">
        <v>20818.614600000001</v>
      </c>
    </row>
    <row r="253" spans="1:3" ht="15.75" customHeight="1">
      <c r="A253" s="17" t="s">
        <v>11</v>
      </c>
      <c r="B253" s="17" t="s">
        <v>517</v>
      </c>
      <c r="C253" s="19">
        <v>76657.248900000006</v>
      </c>
    </row>
    <row r="254" spans="1:3" ht="15.75" customHeight="1">
      <c r="A254" s="17" t="s">
        <v>104</v>
      </c>
      <c r="B254" s="17" t="s">
        <v>518</v>
      </c>
      <c r="C254" s="19">
        <v>2578.66689</v>
      </c>
    </row>
    <row r="255" spans="1:3" ht="15.75" customHeight="1">
      <c r="A255" s="17" t="s">
        <v>519</v>
      </c>
      <c r="B255" s="17" t="s">
        <v>520</v>
      </c>
      <c r="C255" s="19">
        <v>9693.5586800000001</v>
      </c>
    </row>
    <row r="256" spans="1:3" ht="15.75" customHeight="1">
      <c r="A256" s="17" t="s">
        <v>100</v>
      </c>
      <c r="B256" s="17" t="s">
        <v>521</v>
      </c>
      <c r="C256" s="19">
        <v>3155.04207</v>
      </c>
    </row>
    <row r="257" spans="1:3" ht="15.75" customHeight="1">
      <c r="A257" s="17" t="s">
        <v>522</v>
      </c>
      <c r="B257" s="17" t="s">
        <v>523</v>
      </c>
      <c r="C257" s="17"/>
    </row>
    <row r="258" spans="1:3" ht="15.75" customHeight="1">
      <c r="A258" s="17" t="s">
        <v>524</v>
      </c>
      <c r="B258" s="17" t="s">
        <v>525</v>
      </c>
      <c r="C258" s="19">
        <v>44320.909200000002</v>
      </c>
    </row>
    <row r="259" spans="1:3" ht="15.75" customHeight="1">
      <c r="A259" s="17" t="s">
        <v>92</v>
      </c>
      <c r="B259" s="17" t="s">
        <v>526</v>
      </c>
      <c r="C259" s="19">
        <v>4147.6977699999998</v>
      </c>
    </row>
    <row r="260" spans="1:3" ht="15.75" customHeight="1">
      <c r="A260" s="17" t="s">
        <v>527</v>
      </c>
      <c r="B260" s="17" t="s">
        <v>528</v>
      </c>
      <c r="C260" s="19">
        <v>3370.2119200000002</v>
      </c>
    </row>
    <row r="261" spans="1:3" ht="15.75" customHeight="1">
      <c r="A261" s="17" t="s">
        <v>529</v>
      </c>
      <c r="B261" s="17" t="s">
        <v>530</v>
      </c>
      <c r="C261" s="19">
        <v>12798.165800000001</v>
      </c>
    </row>
    <row r="262" spans="1:3" ht="15.75" customHeight="1">
      <c r="A262" s="17" t="s">
        <v>531</v>
      </c>
      <c r="B262" s="17" t="s">
        <v>532</v>
      </c>
      <c r="C262" s="19">
        <v>4132.4471800000001</v>
      </c>
    </row>
    <row r="263" spans="1:3" ht="15.75" customHeight="1">
      <c r="A263" s="17" t="s">
        <v>533</v>
      </c>
      <c r="B263" s="17" t="s">
        <v>534</v>
      </c>
      <c r="C263" s="19">
        <v>5290.9500699999999</v>
      </c>
    </row>
    <row r="264" spans="1:3" ht="15.75" customHeight="1">
      <c r="A264" s="17" t="s">
        <v>535</v>
      </c>
      <c r="B264" s="17" t="s">
        <v>536</v>
      </c>
      <c r="C264" s="17"/>
    </row>
    <row r="265" spans="1:3" ht="15.75" customHeight="1">
      <c r="A265" s="17" t="s">
        <v>537</v>
      </c>
      <c r="B265" s="17" t="s">
        <v>538</v>
      </c>
      <c r="C265" s="19">
        <v>6534.2486799999997</v>
      </c>
    </row>
    <row r="266" spans="1:3" ht="15.75" customHeight="1">
      <c r="A266" s="17" t="s">
        <v>117</v>
      </c>
      <c r="B266" s="17" t="s">
        <v>539</v>
      </c>
      <c r="C266" s="19">
        <v>1447.1231</v>
      </c>
    </row>
    <row r="267" spans="1:3" ht="15.75" customHeight="1">
      <c r="A267" s="17" t="s">
        <v>105</v>
      </c>
      <c r="B267" s="17" t="s">
        <v>540</v>
      </c>
      <c r="C267" s="19">
        <v>2536.4005000000002</v>
      </c>
    </row>
    <row r="268" spans="1:3" ht="15.75" customHeight="1">
      <c r="A268" s="9"/>
      <c r="B268" s="9"/>
      <c r="C268" s="9"/>
    </row>
    <row r="269" spans="1:3" ht="15.75" customHeight="1">
      <c r="A269" s="9"/>
      <c r="B269" s="9"/>
      <c r="C269" s="9"/>
    </row>
    <row r="270" spans="1:3" ht="15.75" customHeight="1">
      <c r="A270" s="9"/>
      <c r="B270" s="9"/>
      <c r="C270" s="9"/>
    </row>
    <row r="271" spans="1:3" ht="15.75" customHeight="1">
      <c r="A271" s="9"/>
      <c r="B271" s="9"/>
      <c r="C271" s="9"/>
    </row>
    <row r="272" spans="1:3" ht="15.75" customHeight="1">
      <c r="A272" s="9"/>
      <c r="B272" s="9"/>
      <c r="C272" s="9"/>
    </row>
    <row r="273" spans="1:3" ht="15.75" customHeight="1">
      <c r="A273" s="9"/>
      <c r="B273" s="9"/>
      <c r="C273" s="9"/>
    </row>
    <row r="274" spans="1:3" ht="15.75" customHeight="1">
      <c r="A274" s="9"/>
      <c r="B274" s="9"/>
      <c r="C274" s="9"/>
    </row>
    <row r="275" spans="1:3" ht="15.75" customHeight="1">
      <c r="A275" s="9"/>
      <c r="B275" s="9"/>
      <c r="C275" s="9"/>
    </row>
    <row r="276" spans="1:3" ht="15.75" customHeight="1">
      <c r="A276" s="9"/>
      <c r="B276" s="9"/>
      <c r="C276" s="9"/>
    </row>
    <row r="277" spans="1:3" ht="15.75" customHeight="1">
      <c r="A277" s="9"/>
      <c r="B277" s="9"/>
      <c r="C277" s="9"/>
    </row>
    <row r="278" spans="1:3" ht="15.75" customHeight="1">
      <c r="A278" s="9"/>
      <c r="B278" s="9"/>
      <c r="C278" s="9"/>
    </row>
    <row r="279" spans="1:3" ht="15.75" customHeight="1">
      <c r="A279" s="9"/>
      <c r="B279" s="9"/>
      <c r="C279" s="9"/>
    </row>
    <row r="280" spans="1:3" ht="15.75" customHeight="1">
      <c r="A280" s="9"/>
      <c r="B280" s="9"/>
      <c r="C280" s="9"/>
    </row>
    <row r="281" spans="1:3" ht="15.75" customHeight="1">
      <c r="A281" s="9"/>
      <c r="B281" s="9"/>
      <c r="C281" s="9"/>
    </row>
    <row r="282" spans="1:3" ht="15.75" customHeight="1">
      <c r="A282" s="9"/>
      <c r="B282" s="9"/>
      <c r="C282" s="9"/>
    </row>
    <row r="283" spans="1:3" ht="15.75" customHeight="1">
      <c r="A283" s="9"/>
      <c r="B283" s="9"/>
      <c r="C283" s="9"/>
    </row>
    <row r="284" spans="1:3" ht="15.75" customHeight="1">
      <c r="A284" s="9"/>
      <c r="B284" s="9"/>
      <c r="C284" s="9"/>
    </row>
    <row r="285" spans="1:3" ht="15.75" customHeight="1">
      <c r="A285" s="9"/>
      <c r="B285" s="9"/>
      <c r="C285" s="9"/>
    </row>
    <row r="286" spans="1:3" ht="15.75" customHeight="1">
      <c r="A286" s="9"/>
      <c r="B286" s="9"/>
      <c r="C286" s="9"/>
    </row>
    <row r="287" spans="1:3" ht="15.75" customHeight="1">
      <c r="A287" s="9"/>
      <c r="B287" s="9"/>
      <c r="C287" s="9"/>
    </row>
    <row r="288" spans="1:3" ht="15.75" customHeight="1">
      <c r="A288" s="9"/>
      <c r="B288" s="9"/>
      <c r="C288" s="9"/>
    </row>
    <row r="289" spans="1:3" ht="15.75" customHeight="1">
      <c r="A289" s="9"/>
      <c r="B289" s="9"/>
      <c r="C289" s="9"/>
    </row>
    <row r="290" spans="1:3" ht="15.75" customHeight="1">
      <c r="A290" s="9"/>
      <c r="B290" s="9"/>
      <c r="C290" s="9"/>
    </row>
    <row r="291" spans="1:3" ht="15.75" customHeight="1">
      <c r="A291" s="9"/>
      <c r="B291" s="9"/>
      <c r="C291" s="9"/>
    </row>
    <row r="292" spans="1:3" ht="15.75" customHeight="1">
      <c r="A292" s="9"/>
      <c r="B292" s="9"/>
      <c r="C292" s="9"/>
    </row>
    <row r="293" spans="1:3" ht="15.75" customHeight="1">
      <c r="A293" s="9"/>
      <c r="B293" s="9"/>
      <c r="C293" s="9"/>
    </row>
    <row r="294" spans="1:3" ht="15.75" customHeight="1">
      <c r="A294" s="9"/>
      <c r="B294" s="9"/>
      <c r="C294" s="9"/>
    </row>
    <row r="295" spans="1:3" ht="15.75" customHeight="1">
      <c r="A295" s="9"/>
      <c r="B295" s="9"/>
      <c r="C295" s="9"/>
    </row>
    <row r="296" spans="1:3" ht="15.75" customHeight="1">
      <c r="A296" s="9"/>
      <c r="B296" s="9"/>
      <c r="C296" s="9"/>
    </row>
    <row r="297" spans="1:3" ht="15.75" customHeight="1">
      <c r="A297" s="9"/>
      <c r="B297" s="9"/>
      <c r="C297" s="9"/>
    </row>
    <row r="298" spans="1:3" ht="15.75" customHeight="1">
      <c r="A298" s="9"/>
      <c r="B298" s="9"/>
      <c r="C298" s="9"/>
    </row>
    <row r="299" spans="1:3" ht="15.75" customHeight="1">
      <c r="A299" s="9"/>
      <c r="B299" s="9"/>
      <c r="C299" s="9"/>
    </row>
    <row r="300" spans="1:3" ht="15.75" customHeight="1">
      <c r="A300" s="9"/>
      <c r="B300" s="9"/>
      <c r="C300" s="9"/>
    </row>
    <row r="301" spans="1:3" ht="15.75" customHeight="1">
      <c r="A301" s="9"/>
      <c r="B301" s="9"/>
      <c r="C301" s="9"/>
    </row>
    <row r="302" spans="1:3" ht="15.75" customHeight="1">
      <c r="A302" s="9"/>
      <c r="B302" s="9"/>
      <c r="C302" s="9"/>
    </row>
    <row r="303" spans="1:3" ht="15.75" customHeight="1">
      <c r="A303" s="9"/>
      <c r="B303" s="9"/>
      <c r="C303" s="9"/>
    </row>
    <row r="304" spans="1:3" ht="15.75" customHeight="1">
      <c r="A304" s="9"/>
      <c r="B304" s="9"/>
      <c r="C304" s="9"/>
    </row>
    <row r="305" spans="1:3" ht="15.75" customHeight="1">
      <c r="A305" s="9"/>
      <c r="B305" s="9"/>
      <c r="C305" s="9"/>
    </row>
    <row r="306" spans="1:3" ht="15.75" customHeight="1">
      <c r="A306" s="9"/>
      <c r="B306" s="9"/>
      <c r="C306" s="9"/>
    </row>
    <row r="307" spans="1:3" ht="15.75" customHeight="1">
      <c r="A307" s="9"/>
      <c r="B307" s="9"/>
      <c r="C307" s="9"/>
    </row>
    <row r="308" spans="1:3" ht="15.75" customHeight="1">
      <c r="A308" s="9"/>
      <c r="B308" s="9"/>
      <c r="C308" s="9"/>
    </row>
    <row r="309" spans="1:3" ht="15.75" customHeight="1">
      <c r="A309" s="9"/>
      <c r="B309" s="9"/>
      <c r="C309" s="9"/>
    </row>
    <row r="310" spans="1:3" ht="15.75" customHeight="1">
      <c r="A310" s="9"/>
      <c r="B310" s="9"/>
      <c r="C310" s="9"/>
    </row>
    <row r="311" spans="1:3" ht="15.75" customHeight="1">
      <c r="A311" s="9"/>
      <c r="B311" s="9"/>
      <c r="C311" s="9"/>
    </row>
    <row r="312" spans="1:3" ht="15.75" customHeight="1">
      <c r="A312" s="9"/>
      <c r="B312" s="9"/>
      <c r="C312" s="9"/>
    </row>
    <row r="313" spans="1:3" ht="15.75" customHeight="1">
      <c r="A313" s="9"/>
      <c r="B313" s="9"/>
      <c r="C313" s="9"/>
    </row>
    <row r="314" spans="1:3" ht="15.75" customHeight="1">
      <c r="A314" s="9"/>
      <c r="B314" s="9"/>
      <c r="C314" s="9"/>
    </row>
    <row r="315" spans="1:3" ht="15.75" customHeight="1">
      <c r="A315" s="9"/>
      <c r="B315" s="9"/>
      <c r="C315" s="9"/>
    </row>
    <row r="316" spans="1:3" ht="15.75" customHeight="1">
      <c r="A316" s="9"/>
      <c r="B316" s="9"/>
      <c r="C316" s="9"/>
    </row>
    <row r="317" spans="1:3" ht="15.75" customHeight="1">
      <c r="A317" s="9"/>
      <c r="B317" s="9"/>
      <c r="C317" s="9"/>
    </row>
    <row r="318" spans="1:3" ht="15.75" customHeight="1">
      <c r="A318" s="9"/>
      <c r="B318" s="9"/>
      <c r="C318" s="9"/>
    </row>
    <row r="319" spans="1:3" ht="15.75" customHeight="1">
      <c r="A319" s="9"/>
      <c r="B319" s="9"/>
      <c r="C319" s="9"/>
    </row>
    <row r="320" spans="1:3" ht="15.75" customHeight="1">
      <c r="A320" s="9"/>
      <c r="B320" s="9"/>
      <c r="C320" s="9"/>
    </row>
    <row r="321" spans="1:3" ht="15.75" customHeight="1">
      <c r="A321" s="9"/>
      <c r="B321" s="9"/>
      <c r="C321" s="9"/>
    </row>
    <row r="322" spans="1:3" ht="15.75" customHeight="1">
      <c r="A322" s="9"/>
      <c r="B322" s="9"/>
      <c r="C322" s="9"/>
    </row>
    <row r="323" spans="1:3" ht="15.75" customHeight="1">
      <c r="A323" s="9"/>
      <c r="B323" s="9"/>
      <c r="C323" s="9"/>
    </row>
    <row r="324" spans="1:3" ht="15.75" customHeight="1">
      <c r="A324" s="9"/>
      <c r="B324" s="9"/>
      <c r="C324" s="9"/>
    </row>
    <row r="325" spans="1:3" ht="15.75" customHeight="1">
      <c r="A325" s="9"/>
      <c r="B325" s="9"/>
      <c r="C325" s="9"/>
    </row>
    <row r="326" spans="1:3" ht="15.75" customHeight="1">
      <c r="A326" s="9"/>
      <c r="B326" s="9"/>
      <c r="C326" s="9"/>
    </row>
    <row r="327" spans="1:3" ht="15.75" customHeight="1">
      <c r="A327" s="9"/>
      <c r="B327" s="9"/>
      <c r="C327" s="9"/>
    </row>
    <row r="328" spans="1:3" ht="15.75" customHeight="1">
      <c r="A328" s="9"/>
      <c r="B328" s="9"/>
      <c r="C328" s="9"/>
    </row>
    <row r="329" spans="1:3" ht="15.75" customHeight="1">
      <c r="A329" s="9"/>
      <c r="B329" s="9"/>
      <c r="C329" s="9"/>
    </row>
    <row r="330" spans="1:3" ht="15.75" customHeight="1">
      <c r="A330" s="9"/>
      <c r="B330" s="9"/>
      <c r="C330" s="9"/>
    </row>
    <row r="331" spans="1:3" ht="15.75" customHeight="1">
      <c r="A331" s="9"/>
      <c r="B331" s="9"/>
      <c r="C331" s="9"/>
    </row>
    <row r="332" spans="1:3" ht="15.75" customHeight="1">
      <c r="A332" s="9"/>
      <c r="B332" s="9"/>
      <c r="C332" s="9"/>
    </row>
    <row r="333" spans="1:3" ht="15.75" customHeight="1">
      <c r="A333" s="9"/>
      <c r="B333" s="9"/>
      <c r="C333" s="9"/>
    </row>
    <row r="334" spans="1:3" ht="15.75" customHeight="1">
      <c r="A334" s="9"/>
      <c r="B334" s="9"/>
      <c r="C334" s="9"/>
    </row>
    <row r="335" spans="1:3" ht="15.75" customHeight="1">
      <c r="A335" s="9"/>
      <c r="B335" s="9"/>
      <c r="C335" s="9"/>
    </row>
    <row r="336" spans="1:3" ht="15.75" customHeight="1">
      <c r="A336" s="9"/>
      <c r="B336" s="9"/>
      <c r="C336" s="9"/>
    </row>
    <row r="337" spans="1:3" ht="15.75" customHeight="1">
      <c r="A337" s="9"/>
      <c r="B337" s="9"/>
      <c r="C337" s="9"/>
    </row>
    <row r="338" spans="1:3" ht="15.75" customHeight="1">
      <c r="A338" s="9"/>
      <c r="B338" s="9"/>
      <c r="C338" s="9"/>
    </row>
    <row r="339" spans="1:3" ht="15.75" customHeight="1">
      <c r="A339" s="9"/>
      <c r="B339" s="9"/>
      <c r="C339" s="9"/>
    </row>
    <row r="340" spans="1:3" ht="15.75" customHeight="1">
      <c r="A340" s="9"/>
      <c r="B340" s="9"/>
      <c r="C340" s="9"/>
    </row>
    <row r="341" spans="1:3" ht="15.75" customHeight="1">
      <c r="A341" s="9"/>
      <c r="B341" s="9"/>
      <c r="C341" s="9"/>
    </row>
    <row r="342" spans="1:3" ht="15.75" customHeight="1">
      <c r="A342" s="9"/>
      <c r="B342" s="9"/>
      <c r="C342" s="9"/>
    </row>
    <row r="343" spans="1:3" ht="15.75" customHeight="1">
      <c r="A343" s="9"/>
      <c r="B343" s="9"/>
      <c r="C343" s="9"/>
    </row>
    <row r="344" spans="1:3" ht="15.75" customHeight="1">
      <c r="A344" s="9"/>
      <c r="B344" s="9"/>
      <c r="C344" s="9"/>
    </row>
    <row r="345" spans="1:3" ht="15.75" customHeight="1">
      <c r="A345" s="9"/>
      <c r="B345" s="9"/>
      <c r="C345" s="9"/>
    </row>
    <row r="346" spans="1:3" ht="15.75" customHeight="1">
      <c r="A346" s="9"/>
      <c r="B346" s="9"/>
      <c r="C346" s="9"/>
    </row>
    <row r="347" spans="1:3" ht="15.75" customHeight="1">
      <c r="A347" s="9"/>
      <c r="B347" s="9"/>
      <c r="C347" s="9"/>
    </row>
    <row r="348" spans="1:3" ht="15.75" customHeight="1">
      <c r="A348" s="9"/>
      <c r="B348" s="9"/>
      <c r="C348" s="9"/>
    </row>
    <row r="349" spans="1:3" ht="15.75" customHeight="1">
      <c r="A349" s="9"/>
      <c r="B349" s="9"/>
      <c r="C349" s="9"/>
    </row>
    <row r="350" spans="1:3" ht="15.75" customHeight="1">
      <c r="A350" s="9"/>
      <c r="B350" s="9"/>
      <c r="C350" s="9"/>
    </row>
    <row r="351" spans="1:3" ht="15.75" customHeight="1">
      <c r="A351" s="9"/>
      <c r="B351" s="9"/>
      <c r="C351" s="9"/>
    </row>
    <row r="352" spans="1:3" ht="15.75" customHeight="1">
      <c r="A352" s="9"/>
      <c r="B352" s="9"/>
      <c r="C352" s="9"/>
    </row>
    <row r="353" spans="1:3" ht="15.75" customHeight="1">
      <c r="A353" s="9"/>
      <c r="B353" s="9"/>
      <c r="C353" s="9"/>
    </row>
    <row r="354" spans="1:3" ht="15.75" customHeight="1">
      <c r="A354" s="9"/>
      <c r="B354" s="9"/>
      <c r="C354" s="9"/>
    </row>
    <row r="355" spans="1:3" ht="15.75" customHeight="1">
      <c r="A355" s="9"/>
      <c r="B355" s="9"/>
      <c r="C355" s="9"/>
    </row>
    <row r="356" spans="1:3" ht="15.75" customHeight="1">
      <c r="A356" s="9"/>
      <c r="B356" s="9"/>
      <c r="C356" s="9"/>
    </row>
    <row r="357" spans="1:3" ht="15.75" customHeight="1">
      <c r="A357" s="9"/>
      <c r="B357" s="9"/>
      <c r="C357" s="9"/>
    </row>
    <row r="358" spans="1:3" ht="15.75" customHeight="1">
      <c r="A358" s="9"/>
      <c r="B358" s="9"/>
      <c r="C358" s="9"/>
    </row>
    <row r="359" spans="1:3" ht="15.75" customHeight="1">
      <c r="A359" s="9"/>
      <c r="B359" s="9"/>
      <c r="C359" s="9"/>
    </row>
    <row r="360" spans="1:3" ht="15.75" customHeight="1">
      <c r="A360" s="9"/>
      <c r="B360" s="9"/>
      <c r="C360" s="9"/>
    </row>
    <row r="361" spans="1:3" ht="15.75" customHeight="1">
      <c r="A361" s="9"/>
      <c r="B361" s="9"/>
      <c r="C361" s="9"/>
    </row>
    <row r="362" spans="1:3" ht="15.75" customHeight="1">
      <c r="A362" s="9"/>
      <c r="B362" s="9"/>
      <c r="C362" s="9"/>
    </row>
    <row r="363" spans="1:3" ht="15.75" customHeight="1">
      <c r="A363" s="9"/>
      <c r="B363" s="9"/>
      <c r="C363" s="9"/>
    </row>
    <row r="364" spans="1:3" ht="15.75" customHeight="1">
      <c r="A364" s="9"/>
      <c r="B364" s="9"/>
      <c r="C364" s="9"/>
    </row>
    <row r="365" spans="1:3" ht="15.75" customHeight="1">
      <c r="A365" s="9"/>
      <c r="B365" s="9"/>
      <c r="C365" s="9"/>
    </row>
    <row r="366" spans="1:3" ht="15.75" customHeight="1">
      <c r="A366" s="9"/>
      <c r="B366" s="9"/>
      <c r="C366" s="9"/>
    </row>
    <row r="367" spans="1:3" ht="15.75" customHeight="1">
      <c r="A367" s="9"/>
      <c r="B367" s="9"/>
      <c r="C367" s="9"/>
    </row>
    <row r="368" spans="1:3" ht="15.75" customHeight="1">
      <c r="A368" s="9"/>
      <c r="B368" s="9"/>
      <c r="C368" s="9"/>
    </row>
    <row r="369" spans="1:3" ht="15.75" customHeight="1">
      <c r="A369" s="9"/>
      <c r="B369" s="9"/>
      <c r="C369" s="9"/>
    </row>
    <row r="370" spans="1:3" ht="15.75" customHeight="1">
      <c r="A370" s="9"/>
      <c r="B370" s="9"/>
      <c r="C370" s="9"/>
    </row>
    <row r="371" spans="1:3" ht="15.75" customHeight="1">
      <c r="A371" s="9"/>
      <c r="B371" s="9"/>
      <c r="C371" s="9"/>
    </row>
    <row r="372" spans="1:3" ht="15.75" customHeight="1">
      <c r="A372" s="9"/>
      <c r="B372" s="9"/>
      <c r="C372" s="9"/>
    </row>
    <row r="373" spans="1:3" ht="15.75" customHeight="1">
      <c r="A373" s="9"/>
      <c r="B373" s="9"/>
      <c r="C373" s="9"/>
    </row>
    <row r="374" spans="1:3" ht="15.75" customHeight="1">
      <c r="A374" s="9"/>
      <c r="B374" s="9"/>
      <c r="C374" s="9"/>
    </row>
    <row r="375" spans="1:3" ht="15.75" customHeight="1">
      <c r="A375" s="9"/>
      <c r="B375" s="9"/>
      <c r="C375" s="9"/>
    </row>
    <row r="376" spans="1:3" ht="15.75" customHeight="1">
      <c r="A376" s="9"/>
      <c r="B376" s="9"/>
      <c r="C376" s="9"/>
    </row>
    <row r="377" spans="1:3" ht="15.75" customHeight="1">
      <c r="A377" s="9"/>
      <c r="B377" s="9"/>
      <c r="C377" s="9"/>
    </row>
    <row r="378" spans="1:3" ht="15.75" customHeight="1">
      <c r="A378" s="9"/>
      <c r="B378" s="9"/>
      <c r="C378" s="9"/>
    </row>
    <row r="379" spans="1:3" ht="15.75" customHeight="1">
      <c r="A379" s="9"/>
      <c r="B379" s="9"/>
      <c r="C379" s="9"/>
    </row>
    <row r="380" spans="1:3" ht="15.75" customHeight="1">
      <c r="A380" s="9"/>
      <c r="B380" s="9"/>
      <c r="C380" s="9"/>
    </row>
    <row r="381" spans="1:3" ht="15.75" customHeight="1">
      <c r="A381" s="9"/>
      <c r="B381" s="9"/>
      <c r="C381" s="9"/>
    </row>
    <row r="382" spans="1:3" ht="15.75" customHeight="1">
      <c r="A382" s="9"/>
      <c r="B382" s="9"/>
      <c r="C382" s="9"/>
    </row>
    <row r="383" spans="1:3" ht="15.75" customHeight="1">
      <c r="A383" s="9"/>
      <c r="B383" s="9"/>
      <c r="C383" s="9"/>
    </row>
    <row r="384" spans="1:3" ht="15.75" customHeight="1">
      <c r="A384" s="9"/>
      <c r="B384" s="9"/>
      <c r="C384" s="9"/>
    </row>
    <row r="385" spans="1:3" ht="15.75" customHeight="1">
      <c r="A385" s="9"/>
      <c r="B385" s="9"/>
      <c r="C385" s="9"/>
    </row>
    <row r="386" spans="1:3" ht="15.75" customHeight="1">
      <c r="A386" s="9"/>
      <c r="B386" s="9"/>
      <c r="C386" s="9"/>
    </row>
    <row r="387" spans="1:3" ht="15.75" customHeight="1">
      <c r="A387" s="9"/>
      <c r="B387" s="9"/>
      <c r="C387" s="9"/>
    </row>
    <row r="388" spans="1:3" ht="15.75" customHeight="1">
      <c r="A388" s="9"/>
      <c r="B388" s="9"/>
      <c r="C388" s="9"/>
    </row>
    <row r="389" spans="1:3" ht="15.75" customHeight="1">
      <c r="A389" s="9"/>
      <c r="B389" s="9"/>
      <c r="C389" s="9"/>
    </row>
    <row r="390" spans="1:3" ht="15.75" customHeight="1">
      <c r="A390" s="9"/>
      <c r="B390" s="9"/>
      <c r="C390" s="9"/>
    </row>
    <row r="391" spans="1:3" ht="15.75" customHeight="1">
      <c r="A391" s="9"/>
      <c r="B391" s="9"/>
      <c r="C391" s="9"/>
    </row>
    <row r="392" spans="1:3" ht="15.75" customHeight="1">
      <c r="A392" s="9"/>
      <c r="B392" s="9"/>
      <c r="C392" s="9"/>
    </row>
    <row r="393" spans="1:3" ht="15.75" customHeight="1">
      <c r="A393" s="9"/>
      <c r="B393" s="9"/>
      <c r="C393" s="9"/>
    </row>
    <row r="394" spans="1:3" ht="15.75" customHeight="1">
      <c r="A394" s="9"/>
      <c r="B394" s="9"/>
      <c r="C394" s="9"/>
    </row>
    <row r="395" spans="1:3" ht="15.75" customHeight="1">
      <c r="A395" s="9"/>
      <c r="B395" s="9"/>
      <c r="C395" s="9"/>
    </row>
    <row r="396" spans="1:3" ht="15.75" customHeight="1">
      <c r="A396" s="9"/>
      <c r="B396" s="9"/>
      <c r="C396" s="9"/>
    </row>
    <row r="397" spans="1:3" ht="15.75" customHeight="1">
      <c r="A397" s="9"/>
      <c r="B397" s="9"/>
      <c r="C397" s="9"/>
    </row>
    <row r="398" spans="1:3" ht="15.75" customHeight="1">
      <c r="A398" s="9"/>
      <c r="B398" s="9"/>
      <c r="C398" s="9"/>
    </row>
    <row r="399" spans="1:3" ht="15.75" customHeight="1">
      <c r="A399" s="9"/>
      <c r="B399" s="9"/>
      <c r="C399" s="9"/>
    </row>
    <row r="400" spans="1:3" ht="15.75" customHeight="1">
      <c r="A400" s="9"/>
      <c r="B400" s="9"/>
      <c r="C400" s="9"/>
    </row>
    <row r="401" spans="1:3" ht="15.75" customHeight="1">
      <c r="A401" s="9"/>
      <c r="B401" s="9"/>
      <c r="C401" s="9"/>
    </row>
    <row r="402" spans="1:3" ht="15.75" customHeight="1">
      <c r="A402" s="9"/>
      <c r="B402" s="9"/>
      <c r="C402" s="9"/>
    </row>
    <row r="403" spans="1:3" ht="15.75" customHeight="1">
      <c r="A403" s="9"/>
      <c r="B403" s="9"/>
      <c r="C403" s="9"/>
    </row>
    <row r="404" spans="1:3" ht="15.75" customHeight="1">
      <c r="A404" s="9"/>
      <c r="B404" s="9"/>
      <c r="C404" s="9"/>
    </row>
    <row r="405" spans="1:3" ht="15.75" customHeight="1">
      <c r="A405" s="9"/>
      <c r="B405" s="9"/>
      <c r="C405" s="9"/>
    </row>
    <row r="406" spans="1:3" ht="15.75" customHeight="1">
      <c r="A406" s="9"/>
      <c r="B406" s="9"/>
      <c r="C406" s="9"/>
    </row>
    <row r="407" spans="1:3" ht="15.75" customHeight="1">
      <c r="A407" s="9"/>
      <c r="B407" s="9"/>
      <c r="C407" s="9"/>
    </row>
    <row r="408" spans="1:3" ht="15.75" customHeight="1">
      <c r="A408" s="9"/>
      <c r="B408" s="9"/>
      <c r="C408" s="9"/>
    </row>
    <row r="409" spans="1:3" ht="15.75" customHeight="1">
      <c r="A409" s="9"/>
      <c r="B409" s="9"/>
      <c r="C409" s="9"/>
    </row>
    <row r="410" spans="1:3" ht="15.75" customHeight="1">
      <c r="A410" s="9"/>
      <c r="B410" s="9"/>
      <c r="C410" s="9"/>
    </row>
    <row r="411" spans="1:3" ht="15.75" customHeight="1">
      <c r="A411" s="9"/>
      <c r="B411" s="9"/>
      <c r="C411" s="9"/>
    </row>
    <row r="412" spans="1:3" ht="15.75" customHeight="1">
      <c r="A412" s="9"/>
      <c r="B412" s="9"/>
      <c r="C412" s="9"/>
    </row>
    <row r="413" spans="1:3" ht="15.75" customHeight="1">
      <c r="A413" s="9"/>
      <c r="B413" s="9"/>
      <c r="C413" s="9"/>
    </row>
    <row r="414" spans="1:3" ht="15.75" customHeight="1">
      <c r="A414" s="9"/>
      <c r="B414" s="9"/>
      <c r="C414" s="9"/>
    </row>
    <row r="415" spans="1:3" ht="15.75" customHeight="1">
      <c r="A415" s="9"/>
      <c r="B415" s="9"/>
      <c r="C415" s="9"/>
    </row>
    <row r="416" spans="1:3" ht="15.75" customHeight="1">
      <c r="A416" s="9"/>
      <c r="B416" s="9"/>
      <c r="C416" s="9"/>
    </row>
    <row r="417" spans="1:3" ht="15.75" customHeight="1">
      <c r="A417" s="9"/>
      <c r="B417" s="9"/>
      <c r="C417" s="9"/>
    </row>
    <row r="418" spans="1:3" ht="15.75" customHeight="1">
      <c r="A418" s="9"/>
      <c r="B418" s="9"/>
      <c r="C418" s="9"/>
    </row>
    <row r="419" spans="1:3" ht="15.75" customHeight="1">
      <c r="A419" s="9"/>
      <c r="B419" s="9"/>
      <c r="C419" s="9"/>
    </row>
    <row r="420" spans="1:3" ht="15.75" customHeight="1">
      <c r="A420" s="9"/>
      <c r="B420" s="9"/>
      <c r="C420" s="9"/>
    </row>
    <row r="421" spans="1:3" ht="15.75" customHeight="1">
      <c r="A421" s="9"/>
      <c r="B421" s="9"/>
      <c r="C421" s="9"/>
    </row>
    <row r="422" spans="1:3" ht="15.75" customHeight="1">
      <c r="A422" s="9"/>
      <c r="B422" s="9"/>
      <c r="C422" s="9"/>
    </row>
    <row r="423" spans="1:3" ht="15.75" customHeight="1">
      <c r="A423" s="9"/>
      <c r="B423" s="9"/>
      <c r="C423" s="9"/>
    </row>
    <row r="424" spans="1:3" ht="15.75" customHeight="1">
      <c r="A424" s="9"/>
      <c r="B424" s="9"/>
      <c r="C424" s="9"/>
    </row>
    <row r="425" spans="1:3" ht="15.75" customHeight="1">
      <c r="A425" s="9"/>
      <c r="B425" s="9"/>
      <c r="C425" s="9"/>
    </row>
    <row r="426" spans="1:3" ht="15.75" customHeight="1">
      <c r="A426" s="9"/>
      <c r="B426" s="9"/>
      <c r="C426" s="9"/>
    </row>
    <row r="427" spans="1:3" ht="15.75" customHeight="1">
      <c r="A427" s="9"/>
      <c r="B427" s="9"/>
      <c r="C427" s="9"/>
    </row>
    <row r="428" spans="1:3" ht="15.75" customHeight="1">
      <c r="A428" s="9"/>
      <c r="B428" s="9"/>
      <c r="C428" s="9"/>
    </row>
    <row r="429" spans="1:3" ht="15.75" customHeight="1">
      <c r="A429" s="9"/>
      <c r="B429" s="9"/>
      <c r="C429" s="9"/>
    </row>
    <row r="430" spans="1:3" ht="15.75" customHeight="1">
      <c r="A430" s="9"/>
      <c r="B430" s="9"/>
      <c r="C430" s="9"/>
    </row>
    <row r="431" spans="1:3" ht="15.75" customHeight="1">
      <c r="A431" s="9"/>
      <c r="B431" s="9"/>
      <c r="C431" s="9"/>
    </row>
    <row r="432" spans="1:3" ht="15.75" customHeight="1">
      <c r="A432" s="9"/>
      <c r="B432" s="9"/>
      <c r="C432" s="9"/>
    </row>
    <row r="433" spans="1:3" ht="15.75" customHeight="1">
      <c r="A433" s="9"/>
      <c r="B433" s="9"/>
      <c r="C433" s="9"/>
    </row>
    <row r="434" spans="1:3" ht="15.75" customHeight="1">
      <c r="A434" s="9"/>
      <c r="B434" s="9"/>
      <c r="C434" s="9"/>
    </row>
    <row r="435" spans="1:3" ht="15.75" customHeight="1">
      <c r="A435" s="9"/>
      <c r="B435" s="9"/>
      <c r="C435" s="9"/>
    </row>
    <row r="436" spans="1:3" ht="15.75" customHeight="1">
      <c r="A436" s="9"/>
      <c r="B436" s="9"/>
      <c r="C436" s="9"/>
    </row>
    <row r="437" spans="1:3" ht="15.75" customHeight="1">
      <c r="A437" s="9"/>
      <c r="B437" s="9"/>
      <c r="C437" s="9"/>
    </row>
    <row r="438" spans="1:3" ht="15.75" customHeight="1">
      <c r="A438" s="9"/>
      <c r="B438" s="9"/>
      <c r="C438" s="9"/>
    </row>
    <row r="439" spans="1:3" ht="15.75" customHeight="1">
      <c r="A439" s="9"/>
      <c r="B439" s="9"/>
      <c r="C439" s="9"/>
    </row>
    <row r="440" spans="1:3" ht="15.75" customHeight="1">
      <c r="A440" s="9"/>
      <c r="B440" s="9"/>
      <c r="C440" s="9"/>
    </row>
    <row r="441" spans="1:3" ht="15.75" customHeight="1">
      <c r="A441" s="9"/>
      <c r="B441" s="9"/>
      <c r="C441" s="9"/>
    </row>
    <row r="442" spans="1:3" ht="15.75" customHeight="1">
      <c r="A442" s="9"/>
      <c r="B442" s="9"/>
      <c r="C442" s="9"/>
    </row>
    <row r="443" spans="1:3" ht="15.75" customHeight="1">
      <c r="A443" s="9"/>
      <c r="B443" s="9"/>
      <c r="C443" s="9"/>
    </row>
    <row r="444" spans="1:3" ht="15.75" customHeight="1">
      <c r="A444" s="9"/>
      <c r="B444" s="9"/>
      <c r="C444" s="9"/>
    </row>
    <row r="445" spans="1:3" ht="15.75" customHeight="1">
      <c r="A445" s="9"/>
      <c r="B445" s="9"/>
      <c r="C445" s="9"/>
    </row>
    <row r="446" spans="1:3" ht="15.75" customHeight="1">
      <c r="A446" s="9"/>
      <c r="B446" s="9"/>
      <c r="C446" s="9"/>
    </row>
    <row r="447" spans="1:3" ht="15.75" customHeight="1">
      <c r="A447" s="9"/>
      <c r="B447" s="9"/>
      <c r="C447" s="9"/>
    </row>
    <row r="448" spans="1:3" ht="15.75" customHeight="1">
      <c r="A448" s="9"/>
      <c r="B448" s="9"/>
      <c r="C448" s="9"/>
    </row>
    <row r="449" spans="1:3" ht="15.75" customHeight="1">
      <c r="A449" s="9"/>
      <c r="B449" s="9"/>
      <c r="C449" s="9"/>
    </row>
    <row r="450" spans="1:3" ht="15.75" customHeight="1">
      <c r="A450" s="9"/>
      <c r="B450" s="9"/>
      <c r="C450" s="9"/>
    </row>
    <row r="451" spans="1:3" ht="15.75" customHeight="1">
      <c r="A451" s="9"/>
      <c r="B451" s="9"/>
      <c r="C451" s="9"/>
    </row>
    <row r="452" spans="1:3" ht="15.75" customHeight="1">
      <c r="A452" s="9"/>
      <c r="B452" s="9"/>
      <c r="C452" s="9"/>
    </row>
    <row r="453" spans="1:3" ht="15.75" customHeight="1">
      <c r="A453" s="9"/>
      <c r="B453" s="9"/>
      <c r="C453" s="9"/>
    </row>
    <row r="454" spans="1:3" ht="15.75" customHeight="1">
      <c r="A454" s="9"/>
      <c r="B454" s="9"/>
      <c r="C454" s="9"/>
    </row>
    <row r="455" spans="1:3" ht="15.75" customHeight="1">
      <c r="A455" s="9"/>
      <c r="B455" s="9"/>
      <c r="C455" s="9"/>
    </row>
    <row r="456" spans="1:3" ht="15.75" customHeight="1">
      <c r="A456" s="9"/>
      <c r="B456" s="9"/>
      <c r="C456" s="9"/>
    </row>
    <row r="457" spans="1:3" ht="15.75" customHeight="1">
      <c r="A457" s="9"/>
      <c r="B457" s="9"/>
      <c r="C457" s="9"/>
    </row>
    <row r="458" spans="1:3" ht="15.75" customHeight="1">
      <c r="A458" s="9"/>
      <c r="B458" s="9"/>
      <c r="C458" s="9"/>
    </row>
    <row r="459" spans="1:3" ht="15.75" customHeight="1">
      <c r="A459" s="9"/>
      <c r="B459" s="9"/>
      <c r="C459" s="9"/>
    </row>
    <row r="460" spans="1:3" ht="15.75" customHeight="1">
      <c r="A460" s="9"/>
      <c r="B460" s="9"/>
      <c r="C460" s="9"/>
    </row>
    <row r="461" spans="1:3" ht="15.75" customHeight="1">
      <c r="A461" s="9"/>
      <c r="B461" s="9"/>
      <c r="C461" s="9"/>
    </row>
    <row r="462" spans="1:3" ht="15.75" customHeight="1">
      <c r="A462" s="9"/>
      <c r="B462" s="9"/>
      <c r="C462" s="9"/>
    </row>
    <row r="463" spans="1:3" ht="15.75" customHeight="1">
      <c r="A463" s="9"/>
      <c r="B463" s="9"/>
      <c r="C463" s="9"/>
    </row>
    <row r="464" spans="1:3" ht="15.75" customHeight="1">
      <c r="A464" s="9"/>
      <c r="B464" s="9"/>
      <c r="C464" s="9"/>
    </row>
    <row r="465" spans="1:3" ht="15.75" customHeight="1">
      <c r="A465" s="9"/>
      <c r="B465" s="9"/>
      <c r="C465" s="9"/>
    </row>
    <row r="466" spans="1:3" ht="15.75" customHeight="1">
      <c r="A466" s="9"/>
      <c r="B466" s="9"/>
      <c r="C466" s="9"/>
    </row>
    <row r="467" spans="1:3" ht="15.75" customHeight="1">
      <c r="A467" s="9"/>
      <c r="B467" s="9"/>
      <c r="C467" s="9"/>
    </row>
    <row r="468" spans="1:3" ht="15.75" customHeight="1"/>
    <row r="469" spans="1:3" ht="15.75" customHeight="1"/>
    <row r="470" spans="1:3" ht="15.75" customHeight="1"/>
    <row r="471" spans="1:3" ht="15.75" customHeight="1"/>
    <row r="472" spans="1:3" ht="15.75" customHeight="1"/>
    <row r="473" spans="1:3" ht="15.75" customHeight="1"/>
    <row r="474" spans="1:3" ht="15.75" customHeight="1"/>
    <row r="475" spans="1:3" ht="15.75" customHeight="1"/>
    <row r="476" spans="1:3" ht="15.75" customHeight="1"/>
    <row r="477" spans="1:3" ht="15.75" customHeight="1"/>
    <row r="478" spans="1:3" ht="15.75" customHeight="1"/>
    <row r="479" spans="1:3" ht="15.75" customHeight="1"/>
    <row r="480" spans="1:3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workbookViewId="0"/>
  </sheetViews>
  <sheetFormatPr defaultColWidth="12.5703125" defaultRowHeight="15" customHeight="1"/>
  <cols>
    <col min="1" max="1" width="68.5703125" customWidth="1"/>
    <col min="2" max="2" width="20.140625" customWidth="1"/>
    <col min="3" max="3" width="14.42578125" customWidth="1"/>
    <col min="4" max="6" width="12.5703125" customWidth="1"/>
  </cols>
  <sheetData>
    <row r="1" spans="1:3" ht="15" customHeight="1">
      <c r="A1" s="7" t="s">
        <v>0</v>
      </c>
      <c r="B1" s="7" t="s">
        <v>132</v>
      </c>
      <c r="C1" s="7" t="s">
        <v>5</v>
      </c>
    </row>
    <row r="2" spans="1:3" ht="15" customHeight="1">
      <c r="A2" s="13" t="s">
        <v>134</v>
      </c>
      <c r="B2" s="13" t="s">
        <v>135</v>
      </c>
      <c r="C2" s="14">
        <v>7.465334275</v>
      </c>
    </row>
    <row r="3" spans="1:3" ht="15" customHeight="1">
      <c r="A3" s="13" t="s">
        <v>136</v>
      </c>
      <c r="B3" s="13" t="s">
        <v>137</v>
      </c>
      <c r="C3" s="14">
        <v>1.7178654760000001</v>
      </c>
    </row>
    <row r="4" spans="1:3" ht="15" customHeight="1">
      <c r="A4" s="13" t="s">
        <v>138</v>
      </c>
      <c r="B4" s="13" t="s">
        <v>139</v>
      </c>
      <c r="C4" s="13"/>
    </row>
    <row r="5" spans="1:3" ht="15" customHeight="1">
      <c r="A5" s="13" t="s">
        <v>140</v>
      </c>
      <c r="B5" s="13" t="s">
        <v>141</v>
      </c>
      <c r="C5" s="14">
        <v>1.4681455510000001</v>
      </c>
    </row>
    <row r="6" spans="1:3" ht="15" customHeight="1">
      <c r="A6" s="13" t="s">
        <v>95</v>
      </c>
      <c r="B6" s="13" t="s">
        <v>142</v>
      </c>
      <c r="C6" s="14">
        <v>-5.0289928899999996</v>
      </c>
    </row>
    <row r="7" spans="1:3" ht="15" customHeight="1">
      <c r="A7" s="13" t="s">
        <v>68</v>
      </c>
      <c r="B7" s="13" t="s">
        <v>143</v>
      </c>
      <c r="C7" s="14">
        <v>7.5793404290000002</v>
      </c>
    </row>
    <row r="8" spans="1:3" ht="15" customHeight="1">
      <c r="A8" s="13" t="s">
        <v>144</v>
      </c>
      <c r="B8" s="13" t="s">
        <v>145</v>
      </c>
      <c r="C8" s="14">
        <v>17.570235060000002</v>
      </c>
    </row>
    <row r="9" spans="1:3" ht="15" customHeight="1">
      <c r="A9" s="13" t="s">
        <v>146</v>
      </c>
      <c r="B9" s="13" t="s">
        <v>147</v>
      </c>
      <c r="C9" s="14">
        <v>2.0780599610000001</v>
      </c>
    </row>
    <row r="10" spans="1:3" ht="15" customHeight="1">
      <c r="A10" s="13" t="s">
        <v>148</v>
      </c>
      <c r="B10" s="13" t="s">
        <v>149</v>
      </c>
      <c r="C10" s="14">
        <v>4.4459139920000004</v>
      </c>
    </row>
    <row r="11" spans="1:3" ht="15" customHeight="1">
      <c r="A11" s="13" t="s">
        <v>52</v>
      </c>
      <c r="B11" s="13" t="s">
        <v>150</v>
      </c>
      <c r="C11" s="14">
        <v>2.398460118</v>
      </c>
    </row>
    <row r="12" spans="1:3" ht="15" customHeight="1">
      <c r="A12" s="13" t="s">
        <v>76</v>
      </c>
      <c r="B12" s="13" t="s">
        <v>151</v>
      </c>
      <c r="C12" s="14">
        <v>4.9999158609999999</v>
      </c>
    </row>
    <row r="13" spans="1:3" ht="15" customHeight="1">
      <c r="A13" s="13" t="s">
        <v>152</v>
      </c>
      <c r="B13" s="13" t="s">
        <v>153</v>
      </c>
      <c r="C13" s="13"/>
    </row>
    <row r="14" spans="1:3" ht="15" customHeight="1">
      <c r="A14" s="13" t="s">
        <v>154</v>
      </c>
      <c r="B14" s="13" t="s">
        <v>155</v>
      </c>
      <c r="C14" s="14">
        <v>16.383246360000001</v>
      </c>
    </row>
    <row r="15" spans="1:3" ht="15" customHeight="1">
      <c r="A15" s="13" t="s">
        <v>13</v>
      </c>
      <c r="B15" s="13" t="s">
        <v>156</v>
      </c>
      <c r="C15" s="14">
        <v>4.0521528670000002</v>
      </c>
    </row>
    <row r="16" spans="1:3" ht="15" customHeight="1">
      <c r="A16" s="13" t="s">
        <v>18</v>
      </c>
      <c r="B16" s="13" t="s">
        <v>157</v>
      </c>
      <c r="C16" s="14">
        <v>3.0221599260000001</v>
      </c>
    </row>
    <row r="17" spans="1:3" ht="15" customHeight="1">
      <c r="A17" s="13" t="s">
        <v>67</v>
      </c>
      <c r="B17" s="13" t="s">
        <v>158</v>
      </c>
      <c r="C17" s="14">
        <v>-5.6777371099999998</v>
      </c>
    </row>
    <row r="18" spans="1:3" ht="15" customHeight="1">
      <c r="A18" s="13" t="s">
        <v>159</v>
      </c>
      <c r="B18" s="13" t="s">
        <v>160</v>
      </c>
      <c r="C18" s="14">
        <v>0.62557691800000004</v>
      </c>
    </row>
    <row r="19" spans="1:3" ht="15" customHeight="1">
      <c r="A19" s="13" t="s">
        <v>19</v>
      </c>
      <c r="B19" s="13" t="s">
        <v>161</v>
      </c>
      <c r="C19" s="14">
        <v>2.2224310709999999</v>
      </c>
    </row>
    <row r="20" spans="1:3" ht="15" customHeight="1">
      <c r="A20" s="13" t="s">
        <v>119</v>
      </c>
      <c r="B20" s="13" t="s">
        <v>162</v>
      </c>
      <c r="C20" s="14">
        <v>2.1577053749999999</v>
      </c>
    </row>
    <row r="21" spans="1:3" ht="15" customHeight="1">
      <c r="A21" s="13" t="s">
        <v>128</v>
      </c>
      <c r="B21" s="13" t="s">
        <v>163</v>
      </c>
      <c r="C21" s="14">
        <v>3.5964079359999999</v>
      </c>
    </row>
    <row r="22" spans="1:3" ht="15" customHeight="1">
      <c r="A22" s="13" t="s">
        <v>102</v>
      </c>
      <c r="B22" s="13" t="s">
        <v>164</v>
      </c>
      <c r="C22" s="14">
        <v>0.34796002500000001</v>
      </c>
    </row>
    <row r="23" spans="1:3" ht="20.25" customHeight="1">
      <c r="A23" s="13" t="s">
        <v>51</v>
      </c>
      <c r="B23" s="13" t="s">
        <v>165</v>
      </c>
      <c r="C23" s="14">
        <v>5.2466156469999996</v>
      </c>
    </row>
    <row r="24" spans="1:3" ht="20.25" customHeight="1">
      <c r="A24" s="13" t="s">
        <v>32</v>
      </c>
      <c r="B24" s="13" t="s">
        <v>166</v>
      </c>
      <c r="C24" s="14">
        <v>4.2001845629999996</v>
      </c>
    </row>
    <row r="25" spans="1:3" ht="20.25" customHeight="1">
      <c r="A25" s="13" t="s">
        <v>167</v>
      </c>
      <c r="B25" s="13" t="s">
        <v>168</v>
      </c>
      <c r="C25" s="14">
        <v>3.8204043410000001</v>
      </c>
    </row>
    <row r="26" spans="1:3" ht="20.25" customHeight="1">
      <c r="A26" s="13" t="s">
        <v>69</v>
      </c>
      <c r="B26" s="13" t="s">
        <v>169</v>
      </c>
      <c r="C26" s="14">
        <v>3.7882728069999998</v>
      </c>
    </row>
    <row r="27" spans="1:3" ht="20.25" customHeight="1">
      <c r="A27" s="13" t="s">
        <v>66</v>
      </c>
      <c r="B27" s="13" t="s">
        <v>170</v>
      </c>
      <c r="C27" s="14">
        <v>2.177450119</v>
      </c>
    </row>
    <row r="28" spans="1:3" ht="20.25" customHeight="1">
      <c r="A28" s="13" t="s">
        <v>171</v>
      </c>
      <c r="B28" s="13" t="s">
        <v>172</v>
      </c>
      <c r="C28" s="14">
        <v>4.950036967</v>
      </c>
    </row>
    <row r="29" spans="1:3" ht="20.25" customHeight="1">
      <c r="A29" s="13" t="s">
        <v>173</v>
      </c>
      <c r="B29" s="13" t="s">
        <v>174</v>
      </c>
      <c r="C29" s="14">
        <v>7.4847517000000002E-2</v>
      </c>
    </row>
    <row r="30" spans="1:3" ht="20.25" customHeight="1">
      <c r="A30" s="13" t="s">
        <v>90</v>
      </c>
      <c r="B30" s="13" t="s">
        <v>175</v>
      </c>
      <c r="C30" s="14">
        <v>1.2239191999999999E-2</v>
      </c>
    </row>
    <row r="31" spans="1:3" ht="20.25" customHeight="1">
      <c r="A31" s="13" t="s">
        <v>63</v>
      </c>
      <c r="B31" s="13" t="s">
        <v>176</v>
      </c>
      <c r="C31" s="14">
        <v>3.8680320149999998</v>
      </c>
    </row>
    <row r="32" spans="1:3" ht="20.25" customHeight="1">
      <c r="A32" s="13" t="s">
        <v>177</v>
      </c>
      <c r="B32" s="13" t="s">
        <v>178</v>
      </c>
      <c r="C32" s="14">
        <v>2.9049078420000001</v>
      </c>
    </row>
    <row r="33" spans="1:3" ht="20.25" customHeight="1">
      <c r="A33" s="13" t="s">
        <v>26</v>
      </c>
      <c r="B33" s="13" t="s">
        <v>179</v>
      </c>
      <c r="C33" s="14">
        <v>-1.7394679799999999</v>
      </c>
    </row>
    <row r="34" spans="1:3" ht="20.25" customHeight="1">
      <c r="A34" s="13" t="s">
        <v>180</v>
      </c>
      <c r="B34" s="13" t="s">
        <v>181</v>
      </c>
      <c r="C34" s="14">
        <v>0.28990465500000001</v>
      </c>
    </row>
    <row r="35" spans="1:3" ht="20.25" customHeight="1">
      <c r="A35" s="13" t="s">
        <v>65</v>
      </c>
      <c r="B35" s="13" t="s">
        <v>182</v>
      </c>
      <c r="C35" s="14">
        <v>3.4920470520000002</v>
      </c>
    </row>
    <row r="36" spans="1:3" ht="20.25" customHeight="1">
      <c r="A36" s="13" t="s">
        <v>183</v>
      </c>
      <c r="B36" s="13" t="s">
        <v>184</v>
      </c>
      <c r="C36" s="14">
        <v>1.0092979150000001</v>
      </c>
    </row>
    <row r="37" spans="1:3" ht="20.25" customHeight="1">
      <c r="A37" s="13" t="s">
        <v>15</v>
      </c>
      <c r="B37" s="13" t="s">
        <v>185</v>
      </c>
      <c r="C37" s="14">
        <v>2.3175580490000001</v>
      </c>
    </row>
    <row r="38" spans="1:3" ht="20.25" customHeight="1">
      <c r="A38" s="13" t="s">
        <v>186</v>
      </c>
      <c r="B38" s="13" t="s">
        <v>187</v>
      </c>
      <c r="C38" s="14">
        <v>4.171851073</v>
      </c>
    </row>
    <row r="39" spans="1:3" ht="20.25" customHeight="1">
      <c r="A39" s="13" t="s">
        <v>9</v>
      </c>
      <c r="B39" s="13" t="s">
        <v>188</v>
      </c>
      <c r="C39" s="14">
        <v>-1.4983601</v>
      </c>
    </row>
    <row r="40" spans="1:3" ht="20.25" customHeight="1">
      <c r="A40" s="13" t="s">
        <v>189</v>
      </c>
      <c r="B40" s="13" t="s">
        <v>190</v>
      </c>
      <c r="C40" s="13"/>
    </row>
    <row r="41" spans="1:3" ht="20.25" customHeight="1">
      <c r="A41" s="13" t="s">
        <v>50</v>
      </c>
      <c r="B41" s="13" t="s">
        <v>191</v>
      </c>
      <c r="C41" s="14">
        <v>6.2318507040000002</v>
      </c>
    </row>
    <row r="42" spans="1:3" ht="20.25" customHeight="1">
      <c r="A42" s="13" t="s">
        <v>54</v>
      </c>
      <c r="B42" s="13" t="s">
        <v>192</v>
      </c>
      <c r="C42" s="14">
        <v>1.038413655</v>
      </c>
    </row>
    <row r="43" spans="1:3" ht="20.25" customHeight="1">
      <c r="A43" s="13" t="s">
        <v>107</v>
      </c>
      <c r="B43" s="13" t="s">
        <v>193</v>
      </c>
      <c r="C43" s="14">
        <v>2.2547265329999999</v>
      </c>
    </row>
    <row r="44" spans="1:3" ht="20.25" customHeight="1">
      <c r="A44" s="13" t="s">
        <v>114</v>
      </c>
      <c r="B44" s="13" t="s">
        <v>194</v>
      </c>
      <c r="C44" s="14">
        <v>2.0873503219999998</v>
      </c>
    </row>
    <row r="45" spans="1:3" ht="20.25" customHeight="1">
      <c r="A45" s="13" t="s">
        <v>129</v>
      </c>
      <c r="B45" s="13" t="s">
        <v>195</v>
      </c>
      <c r="C45" s="14">
        <v>2.0013162279999999</v>
      </c>
    </row>
    <row r="46" spans="1:3" ht="20.25" customHeight="1">
      <c r="A46" s="13" t="s">
        <v>103</v>
      </c>
      <c r="B46" s="13" t="s">
        <v>196</v>
      </c>
      <c r="C46" s="14">
        <v>3.3650833609999999</v>
      </c>
    </row>
    <row r="47" spans="1:3" ht="20.25" customHeight="1">
      <c r="A47" s="13" t="s">
        <v>75</v>
      </c>
      <c r="B47" s="13" t="s">
        <v>197</v>
      </c>
      <c r="C47" s="14">
        <v>4.9712413770000001</v>
      </c>
    </row>
    <row r="48" spans="1:3" ht="20.25" customHeight="1">
      <c r="A48" s="13" t="s">
        <v>198</v>
      </c>
      <c r="B48" s="13" t="s">
        <v>199</v>
      </c>
      <c r="C48" s="14">
        <v>0.337727308</v>
      </c>
    </row>
    <row r="49" spans="1:3" ht="20.25" customHeight="1">
      <c r="A49" s="13" t="s">
        <v>200</v>
      </c>
      <c r="B49" s="13" t="s">
        <v>201</v>
      </c>
      <c r="C49" s="14">
        <v>5.4301445209999999</v>
      </c>
    </row>
    <row r="50" spans="1:3" ht="20.25" customHeight="1">
      <c r="A50" s="13" t="s">
        <v>53</v>
      </c>
      <c r="B50" s="13" t="s">
        <v>202</v>
      </c>
      <c r="C50" s="14">
        <v>5.4175310650000004</v>
      </c>
    </row>
    <row r="51" spans="1:3" ht="20.25" customHeight="1">
      <c r="A51" s="13" t="s">
        <v>203</v>
      </c>
      <c r="B51" s="13" t="s">
        <v>204</v>
      </c>
      <c r="C51" s="14">
        <v>-0.39730124</v>
      </c>
    </row>
    <row r="52" spans="1:3" ht="20.25" customHeight="1">
      <c r="A52" s="13" t="s">
        <v>205</v>
      </c>
      <c r="B52" s="13" t="s">
        <v>206</v>
      </c>
      <c r="C52" s="13"/>
    </row>
    <row r="53" spans="1:3" ht="20.25" customHeight="1">
      <c r="A53" s="13" t="s">
        <v>207</v>
      </c>
      <c r="B53" s="13" t="s">
        <v>208</v>
      </c>
      <c r="C53" s="14">
        <v>5.7107794429999998</v>
      </c>
    </row>
    <row r="54" spans="1:3" ht="20.25" customHeight="1">
      <c r="A54" s="13" t="s">
        <v>209</v>
      </c>
      <c r="B54" s="13" t="s">
        <v>210</v>
      </c>
      <c r="C54" s="14">
        <v>-47.217122000000003</v>
      </c>
    </row>
    <row r="55" spans="1:3" ht="20.25" customHeight="1">
      <c r="A55" s="13" t="s">
        <v>31</v>
      </c>
      <c r="B55" s="13" t="s">
        <v>211</v>
      </c>
      <c r="C55" s="14">
        <v>0.17262361300000001</v>
      </c>
    </row>
    <row r="56" spans="1:3" ht="20.25" customHeight="1">
      <c r="A56" s="13" t="s">
        <v>36</v>
      </c>
      <c r="B56" s="13" t="s">
        <v>212</v>
      </c>
      <c r="C56" s="14">
        <v>3.029375173</v>
      </c>
    </row>
    <row r="57" spans="1:3" ht="20.25" customHeight="1">
      <c r="A57" s="13" t="s">
        <v>20</v>
      </c>
      <c r="B57" s="13" t="s">
        <v>213</v>
      </c>
      <c r="C57" s="14">
        <v>2.0760524619999998</v>
      </c>
    </row>
    <row r="58" spans="1:3" ht="20.25" customHeight="1">
      <c r="A58" s="13" t="s">
        <v>214</v>
      </c>
      <c r="B58" s="13" t="s">
        <v>215</v>
      </c>
      <c r="C58" s="14">
        <v>5.24930013</v>
      </c>
    </row>
    <row r="59" spans="1:3" ht="20.25" customHeight="1">
      <c r="A59" s="13" t="s">
        <v>216</v>
      </c>
      <c r="B59" s="13" t="s">
        <v>217</v>
      </c>
      <c r="C59" s="14">
        <v>2.715986435</v>
      </c>
    </row>
    <row r="60" spans="1:3" ht="20.25" customHeight="1">
      <c r="A60" s="13" t="s">
        <v>12</v>
      </c>
      <c r="B60" s="13" t="s">
        <v>218</v>
      </c>
      <c r="C60" s="14">
        <v>6.9048667970000004</v>
      </c>
    </row>
    <row r="61" spans="1:3" ht="20.25" customHeight="1">
      <c r="A61" s="13" t="s">
        <v>60</v>
      </c>
      <c r="B61" s="13" t="s">
        <v>219</v>
      </c>
      <c r="C61" s="14">
        <v>3.5689709810000001</v>
      </c>
    </row>
    <row r="62" spans="1:3" ht="20.25" customHeight="1">
      <c r="A62" s="13" t="s">
        <v>85</v>
      </c>
      <c r="B62" s="13" t="s">
        <v>220</v>
      </c>
      <c r="C62" s="14">
        <v>0.10718781199999999</v>
      </c>
    </row>
    <row r="63" spans="1:3" ht="20.25" customHeight="1">
      <c r="A63" s="13" t="s">
        <v>221</v>
      </c>
      <c r="B63" s="13" t="s">
        <v>222</v>
      </c>
      <c r="C63" s="14">
        <v>1.2937866250000001</v>
      </c>
    </row>
    <row r="64" spans="1:3" ht="20.25" customHeight="1">
      <c r="A64" s="13" t="s">
        <v>223</v>
      </c>
      <c r="B64" s="13" t="s">
        <v>224</v>
      </c>
      <c r="C64" s="14">
        <v>1.9822525310000001</v>
      </c>
    </row>
    <row r="65" spans="1:3" ht="20.25" customHeight="1">
      <c r="A65" s="13" t="s">
        <v>225</v>
      </c>
      <c r="B65" s="13" t="s">
        <v>226</v>
      </c>
      <c r="C65" s="14">
        <v>2.2797742300000001</v>
      </c>
    </row>
    <row r="66" spans="1:3" ht="20.25" customHeight="1">
      <c r="A66" s="13" t="s">
        <v>227</v>
      </c>
      <c r="B66" s="13" t="s">
        <v>228</v>
      </c>
      <c r="C66" s="14">
        <v>1.8313076189999999</v>
      </c>
    </row>
    <row r="67" spans="1:3" ht="20.25" customHeight="1">
      <c r="A67" s="13" t="s">
        <v>229</v>
      </c>
      <c r="B67" s="13" t="s">
        <v>230</v>
      </c>
      <c r="C67" s="14">
        <v>1.192777083</v>
      </c>
    </row>
    <row r="68" spans="1:3" ht="20.25" customHeight="1">
      <c r="A68" s="13" t="s">
        <v>78</v>
      </c>
      <c r="B68" s="13" t="s">
        <v>231</v>
      </c>
      <c r="C68" s="14">
        <v>0.75946792399999996</v>
      </c>
    </row>
    <row r="69" spans="1:3" ht="20.25" customHeight="1">
      <c r="A69" s="13" t="s">
        <v>232</v>
      </c>
      <c r="B69" s="13" t="s">
        <v>233</v>
      </c>
      <c r="C69" s="14">
        <v>2.3911808099999998</v>
      </c>
    </row>
    <row r="70" spans="1:3" ht="20.25" customHeight="1">
      <c r="A70" s="13" t="s">
        <v>234</v>
      </c>
      <c r="B70" s="13" t="s">
        <v>235</v>
      </c>
      <c r="C70" s="14">
        <v>0.63594598899999999</v>
      </c>
    </row>
    <row r="71" spans="1:3" ht="20.25" customHeight="1">
      <c r="A71" s="13" t="s">
        <v>236</v>
      </c>
      <c r="B71" s="13" t="s">
        <v>237</v>
      </c>
      <c r="C71" s="13"/>
    </row>
    <row r="72" spans="1:3" ht="20.25" customHeight="1">
      <c r="A72" s="13" t="s">
        <v>33</v>
      </c>
      <c r="B72" s="13" t="s">
        <v>238</v>
      </c>
      <c r="C72" s="14">
        <v>4.6560904340000002</v>
      </c>
    </row>
    <row r="73" spans="1:3" ht="20.25" customHeight="1">
      <c r="A73" s="13" t="s">
        <v>35</v>
      </c>
      <c r="B73" s="13" t="s">
        <v>239</v>
      </c>
      <c r="C73" s="14">
        <v>4.5298837279999997</v>
      </c>
    </row>
    <row r="74" spans="1:3" ht="20.25" customHeight="1">
      <c r="A74" s="13" t="s">
        <v>123</v>
      </c>
      <c r="B74" s="13" t="s">
        <v>240</v>
      </c>
      <c r="C74" s="14">
        <v>2.9803331590000002</v>
      </c>
    </row>
    <row r="75" spans="1:3" ht="20.25" customHeight="1">
      <c r="A75" s="13" t="s">
        <v>241</v>
      </c>
      <c r="B75" s="13" t="s">
        <v>242</v>
      </c>
      <c r="C75" s="14">
        <v>1.4026327780000001</v>
      </c>
    </row>
    <row r="76" spans="1:3" ht="20.25" customHeight="1">
      <c r="A76" s="13" t="s">
        <v>243</v>
      </c>
      <c r="B76" s="13" t="s">
        <v>244</v>
      </c>
      <c r="C76" s="14">
        <v>1.0064905319999999</v>
      </c>
    </row>
    <row r="77" spans="1:3" ht="20.25" customHeight="1">
      <c r="A77" s="13" t="s">
        <v>21</v>
      </c>
      <c r="B77" s="13" t="s">
        <v>245</v>
      </c>
      <c r="C77" s="14">
        <v>4.6669115410000002</v>
      </c>
    </row>
    <row r="78" spans="1:3" ht="20.25" customHeight="1">
      <c r="A78" s="13" t="s">
        <v>246</v>
      </c>
      <c r="B78" s="13" t="s">
        <v>247</v>
      </c>
      <c r="C78" s="14">
        <v>2.0808450280000002</v>
      </c>
    </row>
    <row r="79" spans="1:3" ht="20.25" customHeight="1">
      <c r="A79" s="13" t="s">
        <v>24</v>
      </c>
      <c r="B79" s="13" t="s">
        <v>248</v>
      </c>
      <c r="C79" s="14">
        <v>4.0180319139999998</v>
      </c>
    </row>
    <row r="80" spans="1:3" ht="20.25" customHeight="1">
      <c r="A80" s="13" t="s">
        <v>249</v>
      </c>
      <c r="B80" s="13" t="s">
        <v>250</v>
      </c>
      <c r="C80" s="13"/>
    </row>
    <row r="81" spans="1:3" ht="20.25" customHeight="1">
      <c r="A81" s="13" t="s">
        <v>251</v>
      </c>
      <c r="B81" s="13" t="s">
        <v>252</v>
      </c>
      <c r="C81" s="13"/>
    </row>
    <row r="82" spans="1:3" ht="20.25" customHeight="1">
      <c r="A82" s="13" t="s">
        <v>64</v>
      </c>
      <c r="B82" s="13" t="s">
        <v>253</v>
      </c>
      <c r="C82" s="14">
        <v>5.4038972940000001</v>
      </c>
    </row>
    <row r="83" spans="1:3" ht="20.25" customHeight="1">
      <c r="A83" s="13" t="s">
        <v>23</v>
      </c>
      <c r="B83" s="13" t="s">
        <v>254</v>
      </c>
      <c r="C83" s="14">
        <v>2.9163543519999999</v>
      </c>
    </row>
    <row r="84" spans="1:3" ht="20.25" customHeight="1">
      <c r="A84" s="13" t="s">
        <v>74</v>
      </c>
      <c r="B84" s="13" t="s">
        <v>255</v>
      </c>
      <c r="C84" s="14">
        <v>9.0365253190000008</v>
      </c>
    </row>
    <row r="85" spans="1:3" ht="20.25" customHeight="1">
      <c r="A85" s="13" t="s">
        <v>110</v>
      </c>
      <c r="B85" s="13" t="s">
        <v>256</v>
      </c>
      <c r="C85" s="14">
        <v>1.9324012429999999</v>
      </c>
    </row>
    <row r="86" spans="1:3" ht="20.25" customHeight="1">
      <c r="A86" s="13" t="s">
        <v>257</v>
      </c>
      <c r="B86" s="13" t="s">
        <v>258</v>
      </c>
      <c r="C86" s="13"/>
    </row>
    <row r="87" spans="1:3" ht="20.25" customHeight="1">
      <c r="A87" s="13" t="s">
        <v>259</v>
      </c>
      <c r="B87" s="13" t="s">
        <v>260</v>
      </c>
      <c r="C87" s="14">
        <v>3.3063035539999999</v>
      </c>
    </row>
    <row r="88" spans="1:3" ht="20.25" customHeight="1">
      <c r="A88" s="13" t="s">
        <v>261</v>
      </c>
      <c r="B88" s="13" t="s">
        <v>262</v>
      </c>
      <c r="C88" s="14">
        <v>10.4995861</v>
      </c>
    </row>
    <row r="89" spans="1:3" ht="20.25" customHeight="1">
      <c r="A89" s="13" t="s">
        <v>263</v>
      </c>
      <c r="B89" s="13" t="s">
        <v>264</v>
      </c>
      <c r="C89" s="14">
        <v>1.164658406</v>
      </c>
    </row>
    <row r="90" spans="1:3" ht="20.25" customHeight="1">
      <c r="A90" s="13" t="s">
        <v>71</v>
      </c>
      <c r="B90" s="13" t="s">
        <v>265</v>
      </c>
      <c r="C90" s="14">
        <v>10.141933099999999</v>
      </c>
    </row>
    <row r="91" spans="1:3" ht="20.25" customHeight="1">
      <c r="A91" s="13" t="s">
        <v>41</v>
      </c>
      <c r="B91" s="13" t="s">
        <v>266</v>
      </c>
      <c r="C91" s="14">
        <v>3.6964829340000001</v>
      </c>
    </row>
    <row r="92" spans="1:3" ht="20.25" customHeight="1">
      <c r="A92" s="13" t="s">
        <v>267</v>
      </c>
      <c r="B92" s="13" t="s">
        <v>268</v>
      </c>
      <c r="C92" s="14">
        <v>13.31380871</v>
      </c>
    </row>
    <row r="93" spans="1:3" ht="20.25" customHeight="1">
      <c r="A93" s="13" t="s">
        <v>269</v>
      </c>
      <c r="B93" s="13" t="s">
        <v>270</v>
      </c>
      <c r="C93" s="13"/>
    </row>
    <row r="94" spans="1:3" ht="20.25" customHeight="1">
      <c r="A94" s="13" t="s">
        <v>82</v>
      </c>
      <c r="B94" s="13" t="s">
        <v>271</v>
      </c>
      <c r="C94" s="14">
        <v>1.516155269</v>
      </c>
    </row>
    <row r="95" spans="1:3" ht="20.25" customHeight="1">
      <c r="A95" s="13" t="s">
        <v>272</v>
      </c>
      <c r="B95" s="13" t="s">
        <v>273</v>
      </c>
      <c r="C95" s="13"/>
    </row>
    <row r="96" spans="1:3" ht="20.25" customHeight="1">
      <c r="A96" s="13" t="s">
        <v>274</v>
      </c>
      <c r="B96" s="13" t="s">
        <v>275</v>
      </c>
      <c r="C96" s="14">
        <v>-20.361957499999999</v>
      </c>
    </row>
    <row r="97" spans="1:3" ht="20.25" customHeight="1">
      <c r="A97" s="13" t="s">
        <v>276</v>
      </c>
      <c r="B97" s="13" t="s">
        <v>277</v>
      </c>
      <c r="C97" s="14">
        <v>2.0171222279999999</v>
      </c>
    </row>
    <row r="98" spans="1:3" ht="20.25" customHeight="1">
      <c r="A98" s="13" t="s">
        <v>278</v>
      </c>
      <c r="B98" s="13" t="s">
        <v>279</v>
      </c>
      <c r="C98" s="14">
        <v>34.127375979999997</v>
      </c>
    </row>
    <row r="99" spans="1:3" ht="20.25" customHeight="1">
      <c r="A99" s="13" t="s">
        <v>101</v>
      </c>
      <c r="B99" s="13" t="s">
        <v>280</v>
      </c>
      <c r="C99" s="14">
        <v>2.41292398</v>
      </c>
    </row>
    <row r="100" spans="1:3" ht="20.25" customHeight="1">
      <c r="A100" s="13" t="s">
        <v>281</v>
      </c>
      <c r="B100" s="13" t="s">
        <v>282</v>
      </c>
      <c r="C100" s="14">
        <v>2.7386449339999999</v>
      </c>
    </row>
    <row r="101" spans="1:3" ht="20.25" customHeight="1">
      <c r="A101" s="13" t="s">
        <v>45</v>
      </c>
      <c r="B101" s="13" t="s">
        <v>283</v>
      </c>
      <c r="C101" s="14">
        <v>5.5162697429999996</v>
      </c>
    </row>
    <row r="102" spans="1:3" ht="20.25" customHeight="1">
      <c r="A102" s="13" t="s">
        <v>112</v>
      </c>
      <c r="B102" s="13" t="s">
        <v>284</v>
      </c>
      <c r="C102" s="14">
        <v>0.19459895299999999</v>
      </c>
    </row>
    <row r="103" spans="1:3" ht="20.25" customHeight="1">
      <c r="A103" s="13" t="s">
        <v>46</v>
      </c>
      <c r="B103" s="13" t="s">
        <v>285</v>
      </c>
      <c r="C103" s="14">
        <v>-1.0832449200000001</v>
      </c>
    </row>
    <row r="104" spans="1:3" ht="20.25" customHeight="1">
      <c r="A104" s="13" t="s">
        <v>286</v>
      </c>
      <c r="B104" s="13" t="s">
        <v>287</v>
      </c>
      <c r="C104" s="14">
        <v>1.584147427</v>
      </c>
    </row>
    <row r="105" spans="1:3" ht="20.25" customHeight="1">
      <c r="A105" s="13" t="s">
        <v>288</v>
      </c>
      <c r="B105" s="13" t="s">
        <v>289</v>
      </c>
      <c r="C105" s="14">
        <v>1.5753897349999999</v>
      </c>
    </row>
    <row r="106" spans="1:3" ht="20.25" customHeight="1">
      <c r="A106" s="13" t="s">
        <v>290</v>
      </c>
      <c r="B106" s="13" t="s">
        <v>291</v>
      </c>
      <c r="C106" s="14">
        <v>1.464799153</v>
      </c>
    </row>
    <row r="107" spans="1:3" ht="20.25" customHeight="1">
      <c r="A107" s="13" t="s">
        <v>292</v>
      </c>
      <c r="B107" s="13" t="s">
        <v>293</v>
      </c>
      <c r="C107" s="14">
        <v>0.68904797100000004</v>
      </c>
    </row>
    <row r="108" spans="1:3" ht="20.25" customHeight="1">
      <c r="A108" s="13" t="s">
        <v>86</v>
      </c>
      <c r="B108" s="13" t="s">
        <v>294</v>
      </c>
      <c r="C108" s="14">
        <v>1.8726410090000001</v>
      </c>
    </row>
    <row r="109" spans="1:3" ht="20.25" customHeight="1">
      <c r="A109" s="13" t="s">
        <v>295</v>
      </c>
      <c r="B109" s="13" t="s">
        <v>296</v>
      </c>
      <c r="C109" s="14">
        <v>2.1949536730000001</v>
      </c>
    </row>
    <row r="110" spans="1:3" ht="20.25" customHeight="1">
      <c r="A110" s="13" t="s">
        <v>297</v>
      </c>
      <c r="B110" s="13" t="s">
        <v>298</v>
      </c>
      <c r="C110" s="13"/>
    </row>
    <row r="111" spans="1:3" ht="20.25" customHeight="1">
      <c r="A111" s="13" t="s">
        <v>106</v>
      </c>
      <c r="B111" s="13" t="s">
        <v>299</v>
      </c>
      <c r="C111" s="14">
        <v>1.4924882589999999</v>
      </c>
    </row>
    <row r="112" spans="1:3" ht="20.25" customHeight="1">
      <c r="A112" s="13" t="s">
        <v>300</v>
      </c>
      <c r="B112" s="13" t="s">
        <v>301</v>
      </c>
      <c r="C112" s="13"/>
    </row>
    <row r="113" spans="1:3" ht="20.25" customHeight="1">
      <c r="A113" s="13" t="s">
        <v>8</v>
      </c>
      <c r="B113" s="13" t="s">
        <v>302</v>
      </c>
      <c r="C113" s="14">
        <v>-6.4879079400000004</v>
      </c>
    </row>
    <row r="114" spans="1:3" ht="20.25" customHeight="1">
      <c r="A114" s="13" t="s">
        <v>87</v>
      </c>
      <c r="B114" s="13" t="s">
        <v>303</v>
      </c>
      <c r="C114" s="14">
        <v>0.354893289</v>
      </c>
    </row>
    <row r="115" spans="1:3" ht="20.25" customHeight="1">
      <c r="A115" s="13" t="s">
        <v>77</v>
      </c>
      <c r="B115" s="13" t="s">
        <v>304</v>
      </c>
      <c r="C115" s="14">
        <v>-0.72665336999999997</v>
      </c>
    </row>
    <row r="116" spans="1:3" ht="20.25" customHeight="1">
      <c r="A116" s="13" t="s">
        <v>305</v>
      </c>
      <c r="B116" s="13" t="s">
        <v>306</v>
      </c>
      <c r="C116" s="14">
        <v>4.7402198719999999</v>
      </c>
    </row>
    <row r="117" spans="1:3" ht="20.25" customHeight="1">
      <c r="A117" s="13" t="s">
        <v>16</v>
      </c>
      <c r="B117" s="13" t="s">
        <v>307</v>
      </c>
      <c r="C117" s="14">
        <v>4.3572596209999999</v>
      </c>
    </row>
    <row r="118" spans="1:3" ht="20.25" customHeight="1">
      <c r="A118" s="13" t="s">
        <v>28</v>
      </c>
      <c r="B118" s="13" t="s">
        <v>308</v>
      </c>
      <c r="C118" s="14">
        <v>2.9418140579999998</v>
      </c>
    </row>
    <row r="119" spans="1:3" ht="20.25" customHeight="1">
      <c r="A119" s="13" t="s">
        <v>309</v>
      </c>
      <c r="B119" s="13" t="s">
        <v>310</v>
      </c>
      <c r="C119" s="14">
        <v>1.6941861709999999</v>
      </c>
    </row>
    <row r="120" spans="1:3" ht="20.25" customHeight="1">
      <c r="A120" s="13" t="s">
        <v>89</v>
      </c>
      <c r="B120" s="13" t="s">
        <v>311</v>
      </c>
      <c r="C120" s="14">
        <v>1.9738253539999999</v>
      </c>
    </row>
    <row r="121" spans="1:3" ht="20.25" customHeight="1">
      <c r="A121" s="13" t="s">
        <v>30</v>
      </c>
      <c r="B121" s="13" t="s">
        <v>312</v>
      </c>
      <c r="C121" s="14">
        <v>1.129718408</v>
      </c>
    </row>
    <row r="122" spans="1:3" ht="20.25" customHeight="1">
      <c r="A122" s="13" t="s">
        <v>57</v>
      </c>
      <c r="B122" s="13" t="s">
        <v>313</v>
      </c>
      <c r="C122" s="14">
        <v>2.2535543499999999</v>
      </c>
    </row>
    <row r="123" spans="1:3" ht="20.25" customHeight="1">
      <c r="A123" s="13" t="s">
        <v>111</v>
      </c>
      <c r="B123" s="13" t="s">
        <v>314</v>
      </c>
      <c r="C123" s="14">
        <v>0.69164598300000002</v>
      </c>
    </row>
    <row r="124" spans="1:3" ht="20.25" customHeight="1">
      <c r="A124" s="13" t="s">
        <v>113</v>
      </c>
      <c r="B124" s="13" t="s">
        <v>315</v>
      </c>
      <c r="C124" s="14">
        <v>0.45199268100000001</v>
      </c>
    </row>
    <row r="125" spans="1:3" ht="20.25" customHeight="1">
      <c r="A125" s="13" t="s">
        <v>108</v>
      </c>
      <c r="B125" s="13" t="s">
        <v>316</v>
      </c>
      <c r="C125" s="14">
        <v>8.9483012580000008</v>
      </c>
    </row>
    <row r="126" spans="1:3" ht="20.25" customHeight="1">
      <c r="A126" s="13" t="s">
        <v>317</v>
      </c>
      <c r="B126" s="13" t="s">
        <v>318</v>
      </c>
      <c r="C126" s="14">
        <v>1.581306458</v>
      </c>
    </row>
    <row r="127" spans="1:3" ht="20.25" customHeight="1">
      <c r="A127" s="13" t="s">
        <v>319</v>
      </c>
      <c r="B127" s="13" t="s">
        <v>320</v>
      </c>
      <c r="C127" s="14">
        <v>4.1869384419999998</v>
      </c>
    </row>
    <row r="128" spans="1:3" ht="20.25" customHeight="1">
      <c r="A128" s="13" t="s">
        <v>29</v>
      </c>
      <c r="B128" s="13" t="s">
        <v>321</v>
      </c>
      <c r="C128" s="14">
        <v>1.3918646969999999</v>
      </c>
    </row>
    <row r="129" spans="1:3" ht="20.25" customHeight="1">
      <c r="A129" s="13" t="s">
        <v>25</v>
      </c>
      <c r="B129" s="13" t="s">
        <v>322</v>
      </c>
      <c r="C129" s="14">
        <v>0.40994382299999998</v>
      </c>
    </row>
    <row r="130" spans="1:3" ht="20.25" customHeight="1">
      <c r="A130" s="13" t="s">
        <v>323</v>
      </c>
      <c r="B130" s="13" t="s">
        <v>324</v>
      </c>
      <c r="C130" s="14">
        <v>3.2432202550000002</v>
      </c>
    </row>
    <row r="131" spans="1:3" ht="20.25" customHeight="1">
      <c r="A131" s="13" t="s">
        <v>325</v>
      </c>
      <c r="B131" s="13" t="s">
        <v>326</v>
      </c>
      <c r="C131" s="14">
        <v>4.6950922579999999</v>
      </c>
    </row>
    <row r="132" spans="1:3" ht="20.25" customHeight="1">
      <c r="A132" s="13" t="s">
        <v>96</v>
      </c>
      <c r="B132" s="13" t="s">
        <v>327</v>
      </c>
      <c r="C132" s="14">
        <v>2.5096616059999999</v>
      </c>
    </row>
    <row r="133" spans="1:3" ht="20.25" customHeight="1">
      <c r="A133" s="13" t="s">
        <v>328</v>
      </c>
      <c r="B133" s="13" t="s">
        <v>329</v>
      </c>
      <c r="C133" s="14">
        <v>3.0933251620000002</v>
      </c>
    </row>
    <row r="134" spans="1:3" ht="20.25" customHeight="1">
      <c r="A134" s="13" t="s">
        <v>80</v>
      </c>
      <c r="B134" s="13" t="s">
        <v>330</v>
      </c>
      <c r="C134" s="14">
        <v>1.623260334</v>
      </c>
    </row>
    <row r="135" spans="1:3" ht="20.25" customHeight="1">
      <c r="A135" s="13" t="s">
        <v>331</v>
      </c>
      <c r="B135" s="13" t="s">
        <v>332</v>
      </c>
      <c r="C135" s="14">
        <v>2.4776144489999998</v>
      </c>
    </row>
    <row r="136" spans="1:3" ht="20.25" customHeight="1">
      <c r="A136" s="13" t="s">
        <v>333</v>
      </c>
      <c r="B136" s="13" t="s">
        <v>334</v>
      </c>
      <c r="C136" s="14">
        <v>3.419645928</v>
      </c>
    </row>
    <row r="137" spans="1:3" ht="20.25" customHeight="1">
      <c r="A137" s="13" t="s">
        <v>335</v>
      </c>
      <c r="B137" s="13" t="s">
        <v>336</v>
      </c>
      <c r="C137" s="14">
        <v>1.6997110360000001</v>
      </c>
    </row>
    <row r="138" spans="1:3" ht="20.25" customHeight="1">
      <c r="A138" s="13" t="s">
        <v>337</v>
      </c>
      <c r="B138" s="13" t="s">
        <v>338</v>
      </c>
      <c r="C138" s="14">
        <v>3.7749543189999999</v>
      </c>
    </row>
    <row r="139" spans="1:3" ht="20.25" customHeight="1">
      <c r="A139" s="13" t="s">
        <v>339</v>
      </c>
      <c r="B139" s="13" t="s">
        <v>340</v>
      </c>
      <c r="C139" s="13"/>
    </row>
    <row r="140" spans="1:3" ht="20.25" customHeight="1">
      <c r="A140" s="13" t="s">
        <v>99</v>
      </c>
      <c r="B140" s="13" t="s">
        <v>341</v>
      </c>
      <c r="C140" s="14">
        <v>1.192493222</v>
      </c>
    </row>
    <row r="141" spans="1:3" ht="20.25" customHeight="1">
      <c r="A141" s="13" t="s">
        <v>342</v>
      </c>
      <c r="B141" s="13" t="s">
        <v>343</v>
      </c>
      <c r="C141" s="14">
        <v>1.531110698</v>
      </c>
    </row>
    <row r="142" spans="1:3" ht="20.25" customHeight="1">
      <c r="A142" s="13" t="s">
        <v>344</v>
      </c>
      <c r="B142" s="13" t="s">
        <v>345</v>
      </c>
      <c r="C142" s="14">
        <v>1.5909189530000001</v>
      </c>
    </row>
    <row r="143" spans="1:3" ht="20.25" customHeight="1">
      <c r="A143" s="13" t="s">
        <v>346</v>
      </c>
      <c r="B143" s="13" t="s">
        <v>347</v>
      </c>
      <c r="C143" s="14">
        <v>-0.33206507000000002</v>
      </c>
    </row>
    <row r="144" spans="1:3" ht="20.25" customHeight="1">
      <c r="A144" s="13" t="s">
        <v>348</v>
      </c>
      <c r="B144" s="13" t="s">
        <v>349</v>
      </c>
      <c r="C144" s="14">
        <v>1.3953408940000001</v>
      </c>
    </row>
    <row r="145" spans="1:3" ht="20.25" customHeight="1">
      <c r="A145" s="13" t="s">
        <v>37</v>
      </c>
      <c r="B145" s="13" t="s">
        <v>350</v>
      </c>
      <c r="C145" s="14">
        <v>3.4058810820000001</v>
      </c>
    </row>
    <row r="146" spans="1:3" ht="20.25" customHeight="1">
      <c r="A146" s="13" t="s">
        <v>351</v>
      </c>
      <c r="B146" s="13" t="s">
        <v>352</v>
      </c>
      <c r="C146" s="14">
        <v>-391.55511899999999</v>
      </c>
    </row>
    <row r="147" spans="1:3" ht="20.25" customHeight="1">
      <c r="A147" s="13" t="s">
        <v>43</v>
      </c>
      <c r="B147" s="13" t="s">
        <v>353</v>
      </c>
      <c r="C147" s="14">
        <v>3.2033789179999999</v>
      </c>
    </row>
    <row r="148" spans="1:3" ht="20.25" customHeight="1">
      <c r="A148" s="13" t="s">
        <v>354</v>
      </c>
      <c r="B148" s="13" t="s">
        <v>355</v>
      </c>
      <c r="C148" s="14">
        <v>13.380822500000001</v>
      </c>
    </row>
    <row r="149" spans="1:3" ht="20.25" customHeight="1">
      <c r="A149" s="13" t="s">
        <v>356</v>
      </c>
      <c r="B149" s="13" t="s">
        <v>357</v>
      </c>
      <c r="C149" s="13"/>
    </row>
    <row r="150" spans="1:3" ht="20.25" customHeight="1">
      <c r="A150" s="13" t="s">
        <v>98</v>
      </c>
      <c r="B150" s="13" t="s">
        <v>358</v>
      </c>
      <c r="C150" s="14">
        <v>1.7481432370000001</v>
      </c>
    </row>
    <row r="151" spans="1:3" ht="20.25" customHeight="1">
      <c r="A151" s="13" t="s">
        <v>359</v>
      </c>
      <c r="B151" s="13" t="s">
        <v>360</v>
      </c>
      <c r="C151" s="13"/>
    </row>
    <row r="152" spans="1:3" ht="20.25" customHeight="1">
      <c r="A152" s="13" t="s">
        <v>81</v>
      </c>
      <c r="B152" s="13" t="s">
        <v>361</v>
      </c>
      <c r="C152" s="14">
        <v>4.034467351</v>
      </c>
    </row>
    <row r="153" spans="1:3" ht="20.25" customHeight="1">
      <c r="A153" s="13" t="s">
        <v>27</v>
      </c>
      <c r="B153" s="13" t="s">
        <v>362</v>
      </c>
      <c r="C153" s="14">
        <v>3.0527259249999998</v>
      </c>
    </row>
    <row r="154" spans="1:3" ht="20.25" customHeight="1">
      <c r="A154" s="13" t="s">
        <v>363</v>
      </c>
      <c r="B154" s="13" t="s">
        <v>364</v>
      </c>
      <c r="C154" s="14">
        <v>11.84546628</v>
      </c>
    </row>
    <row r="155" spans="1:3" ht="20.25" customHeight="1">
      <c r="A155" s="13" t="s">
        <v>365</v>
      </c>
      <c r="B155" s="13" t="s">
        <v>366</v>
      </c>
      <c r="C155" s="14">
        <v>2.4531076989999998</v>
      </c>
    </row>
    <row r="156" spans="1:3" ht="20.25" customHeight="1">
      <c r="A156" s="13" t="s">
        <v>56</v>
      </c>
      <c r="B156" s="13" t="s">
        <v>367</v>
      </c>
      <c r="C156" s="14">
        <v>2.6726728629999998</v>
      </c>
    </row>
    <row r="157" spans="1:3" ht="20.25" customHeight="1">
      <c r="A157" s="13" t="s">
        <v>368</v>
      </c>
      <c r="B157" s="13" t="s">
        <v>369</v>
      </c>
      <c r="C157" s="14">
        <v>-3.0287678100000002</v>
      </c>
    </row>
    <row r="158" spans="1:3" ht="20.25" customHeight="1">
      <c r="A158" s="13" t="s">
        <v>370</v>
      </c>
      <c r="B158" s="13" t="s">
        <v>371</v>
      </c>
      <c r="C158" s="14">
        <v>1.5703668289999999</v>
      </c>
    </row>
    <row r="159" spans="1:3" ht="20.25" customHeight="1">
      <c r="A159" s="13" t="s">
        <v>70</v>
      </c>
      <c r="B159" s="13" t="s">
        <v>372</v>
      </c>
      <c r="C159" s="14">
        <v>6.1306757899999997</v>
      </c>
    </row>
    <row r="160" spans="1:3" ht="20.25" customHeight="1">
      <c r="A160" s="13" t="s">
        <v>373</v>
      </c>
      <c r="B160" s="13" t="s">
        <v>374</v>
      </c>
      <c r="C160" s="14">
        <v>3.1742253090000001</v>
      </c>
    </row>
    <row r="161" spans="1:3" ht="20.25" customHeight="1">
      <c r="A161" s="13" t="s">
        <v>375</v>
      </c>
      <c r="B161" s="13" t="s">
        <v>376</v>
      </c>
      <c r="C161" s="14">
        <v>115.0538724</v>
      </c>
    </row>
    <row r="162" spans="1:3" ht="20.25" customHeight="1">
      <c r="A162" s="13" t="s">
        <v>377</v>
      </c>
      <c r="B162" s="13" t="s">
        <v>378</v>
      </c>
      <c r="C162" s="14">
        <v>1.9894607600000001</v>
      </c>
    </row>
    <row r="163" spans="1:3" ht="20.25" customHeight="1">
      <c r="A163" s="13" t="s">
        <v>379</v>
      </c>
      <c r="B163" s="13" t="s">
        <v>380</v>
      </c>
      <c r="C163" s="14">
        <v>0.864263589</v>
      </c>
    </row>
    <row r="164" spans="1:3" ht="20.25" customHeight="1">
      <c r="A164" s="13" t="s">
        <v>62</v>
      </c>
      <c r="B164" s="13" t="s">
        <v>381</v>
      </c>
      <c r="C164" s="14">
        <v>13.958223</v>
      </c>
    </row>
    <row r="165" spans="1:3" ht="20.25" customHeight="1">
      <c r="A165" s="13" t="s">
        <v>84</v>
      </c>
      <c r="B165" s="13" t="s">
        <v>382</v>
      </c>
      <c r="C165" s="14">
        <v>14.60530651</v>
      </c>
    </row>
    <row r="166" spans="1:3" ht="20.25" customHeight="1">
      <c r="A166" s="13" t="s">
        <v>383</v>
      </c>
      <c r="B166" s="13" t="s">
        <v>384</v>
      </c>
      <c r="C166" s="13"/>
    </row>
    <row r="167" spans="1:3" ht="20.25" customHeight="1">
      <c r="A167" s="13" t="s">
        <v>131</v>
      </c>
      <c r="B167" s="13" t="s">
        <v>385</v>
      </c>
      <c r="C167" s="14">
        <v>16.00429471</v>
      </c>
    </row>
    <row r="168" spans="1:3" ht="20.25" customHeight="1">
      <c r="A168" s="13" t="s">
        <v>386</v>
      </c>
      <c r="B168" s="13" t="s">
        <v>387</v>
      </c>
      <c r="C168" s="14">
        <v>14.66442086</v>
      </c>
    </row>
    <row r="169" spans="1:3" ht="20.25" customHeight="1">
      <c r="A169" s="13" t="s">
        <v>59</v>
      </c>
      <c r="B169" s="13" t="s">
        <v>388</v>
      </c>
      <c r="C169" s="14">
        <v>4.2199341239999999</v>
      </c>
    </row>
    <row r="170" spans="1:3" ht="20.25" customHeight="1">
      <c r="A170" s="13" t="s">
        <v>389</v>
      </c>
      <c r="B170" s="13" t="s">
        <v>390</v>
      </c>
      <c r="C170" s="14">
        <v>1.598886161</v>
      </c>
    </row>
    <row r="171" spans="1:3" ht="20.25" customHeight="1">
      <c r="A171" s="13" t="s">
        <v>55</v>
      </c>
      <c r="B171" s="13" t="s">
        <v>391</v>
      </c>
      <c r="C171" s="14">
        <v>3.6848621549999998</v>
      </c>
    </row>
    <row r="172" spans="1:3" ht="20.25" customHeight="1">
      <c r="A172" s="13" t="s">
        <v>392</v>
      </c>
      <c r="B172" s="13" t="s">
        <v>393</v>
      </c>
      <c r="C172" s="14">
        <v>1.682040362</v>
      </c>
    </row>
    <row r="173" spans="1:3" ht="20.25" customHeight="1">
      <c r="A173" s="13" t="s">
        <v>88</v>
      </c>
      <c r="B173" s="13" t="s">
        <v>394</v>
      </c>
      <c r="C173" s="14">
        <v>8.4016689380000003</v>
      </c>
    </row>
    <row r="174" spans="1:3" ht="20.25" customHeight="1">
      <c r="A174" s="13" t="s">
        <v>395</v>
      </c>
      <c r="B174" s="13" t="s">
        <v>396</v>
      </c>
      <c r="C174" s="14">
        <v>7.2356259869999997</v>
      </c>
    </row>
    <row r="175" spans="1:3" ht="20.25" customHeight="1">
      <c r="A175" s="13" t="s">
        <v>130</v>
      </c>
      <c r="B175" s="13" t="s">
        <v>397</v>
      </c>
      <c r="C175" s="14">
        <v>6.2588083430000001</v>
      </c>
    </row>
    <row r="176" spans="1:3" ht="20.25" customHeight="1">
      <c r="A176" s="13" t="s">
        <v>398</v>
      </c>
      <c r="B176" s="13" t="s">
        <v>399</v>
      </c>
      <c r="C176" s="14">
        <v>-2.8872769999999999E-2</v>
      </c>
    </row>
    <row r="177" spans="1:3" ht="20.25" customHeight="1">
      <c r="A177" s="13" t="s">
        <v>109</v>
      </c>
      <c r="B177" s="13" t="s">
        <v>400</v>
      </c>
      <c r="C177" s="14">
        <v>8.2323965030000004</v>
      </c>
    </row>
    <row r="178" spans="1:3" ht="20.25" customHeight="1">
      <c r="A178" s="13" t="s">
        <v>14</v>
      </c>
      <c r="B178" s="13" t="s">
        <v>401</v>
      </c>
      <c r="C178" s="14">
        <v>1.47701806</v>
      </c>
    </row>
    <row r="179" spans="1:3" ht="20.25" customHeight="1">
      <c r="A179" s="13" t="s">
        <v>7</v>
      </c>
      <c r="B179" s="13" t="s">
        <v>402</v>
      </c>
      <c r="C179" s="14">
        <v>2.3944643540000001</v>
      </c>
    </row>
    <row r="180" spans="1:3" ht="20.25" customHeight="1">
      <c r="A180" s="13" t="s">
        <v>118</v>
      </c>
      <c r="B180" s="13" t="s">
        <v>403</v>
      </c>
      <c r="C180" s="14">
        <v>0.160405405</v>
      </c>
    </row>
    <row r="181" spans="1:3" ht="20.25" customHeight="1">
      <c r="A181" s="13" t="s">
        <v>404</v>
      </c>
      <c r="B181" s="13" t="s">
        <v>405</v>
      </c>
      <c r="C181" s="14">
        <v>-5.9169933500000003</v>
      </c>
    </row>
    <row r="182" spans="1:3" ht="20.25" customHeight="1">
      <c r="A182" s="13" t="s">
        <v>22</v>
      </c>
      <c r="B182" s="13" t="s">
        <v>406</v>
      </c>
      <c r="C182" s="14">
        <v>3.930401383</v>
      </c>
    </row>
    <row r="183" spans="1:3" ht="20.25" customHeight="1">
      <c r="A183" s="13" t="s">
        <v>407</v>
      </c>
      <c r="B183" s="13" t="s">
        <v>408</v>
      </c>
      <c r="C183" s="14">
        <v>1.69631189</v>
      </c>
    </row>
    <row r="184" spans="1:3" ht="20.25" customHeight="1">
      <c r="A184" s="13" t="s">
        <v>39</v>
      </c>
      <c r="B184" s="13" t="s">
        <v>409</v>
      </c>
      <c r="C184" s="14">
        <v>6.2554452820000002</v>
      </c>
    </row>
    <row r="185" spans="1:3" ht="20.25" customHeight="1">
      <c r="A185" s="13" t="s">
        <v>410</v>
      </c>
      <c r="B185" s="13" t="s">
        <v>411</v>
      </c>
      <c r="C185" s="14">
        <v>15.127969419999999</v>
      </c>
    </row>
    <row r="186" spans="1:3" ht="20.25" customHeight="1">
      <c r="A186" s="13" t="s">
        <v>116</v>
      </c>
      <c r="B186" s="13" t="s">
        <v>412</v>
      </c>
      <c r="C186" s="14">
        <v>0.38998075399999999</v>
      </c>
    </row>
    <row r="187" spans="1:3" ht="20.25" customHeight="1">
      <c r="A187" s="13" t="s">
        <v>47</v>
      </c>
      <c r="B187" s="13" t="s">
        <v>413</v>
      </c>
      <c r="C187" s="14">
        <v>3.2250848190000001</v>
      </c>
    </row>
    <row r="188" spans="1:3" ht="20.25" customHeight="1">
      <c r="A188" s="13" t="s">
        <v>72</v>
      </c>
      <c r="B188" s="13" t="s">
        <v>414</v>
      </c>
      <c r="C188" s="14">
        <v>4.5522158209999999</v>
      </c>
    </row>
    <row r="189" spans="1:3" ht="20.25" customHeight="1">
      <c r="A189" s="13" t="s">
        <v>97</v>
      </c>
      <c r="B189" s="13" t="s">
        <v>415</v>
      </c>
      <c r="C189" s="14">
        <v>2.3475097229999999</v>
      </c>
    </row>
    <row r="190" spans="1:3" ht="20.25" customHeight="1">
      <c r="A190" s="13" t="s">
        <v>416</v>
      </c>
      <c r="B190" s="13" t="s">
        <v>417</v>
      </c>
      <c r="C190" s="14">
        <v>30.499106789999999</v>
      </c>
    </row>
    <row r="191" spans="1:3" ht="20.25" customHeight="1">
      <c r="A191" s="13" t="s">
        <v>418</v>
      </c>
      <c r="B191" s="13" t="s">
        <v>419</v>
      </c>
      <c r="C191" s="14">
        <v>3.7698138160000001</v>
      </c>
    </row>
    <row r="192" spans="1:3" ht="20.25" customHeight="1">
      <c r="A192" s="13" t="s">
        <v>44</v>
      </c>
      <c r="B192" s="13" t="s">
        <v>420</v>
      </c>
      <c r="C192" s="14">
        <v>6.0062609660000001</v>
      </c>
    </row>
    <row r="193" spans="1:3" ht="20.25" customHeight="1">
      <c r="A193" s="13" t="s">
        <v>421</v>
      </c>
      <c r="B193" s="13" t="s">
        <v>422</v>
      </c>
      <c r="C193" s="14">
        <v>0.85865666699999998</v>
      </c>
    </row>
    <row r="194" spans="1:3" ht="20.25" customHeight="1">
      <c r="A194" s="13" t="s">
        <v>423</v>
      </c>
      <c r="B194" s="13" t="s">
        <v>424</v>
      </c>
      <c r="C194" s="13"/>
    </row>
    <row r="195" spans="1:3" ht="20.25" customHeight="1">
      <c r="A195" s="13" t="s">
        <v>425</v>
      </c>
      <c r="B195" s="13" t="s">
        <v>426</v>
      </c>
      <c r="C195" s="13"/>
    </row>
    <row r="196" spans="1:3" ht="20.25" customHeight="1">
      <c r="A196" s="13" t="s">
        <v>38</v>
      </c>
      <c r="B196" s="13" t="s">
        <v>427</v>
      </c>
      <c r="C196" s="14">
        <v>5.083689219</v>
      </c>
    </row>
    <row r="197" spans="1:3" ht="20.25" customHeight="1">
      <c r="A197" s="13" t="s">
        <v>79</v>
      </c>
      <c r="B197" s="13" t="s">
        <v>428</v>
      </c>
      <c r="C197" s="14">
        <v>2.0384471980000001</v>
      </c>
    </row>
    <row r="198" spans="1:3" ht="20.25" customHeight="1">
      <c r="A198" s="13" t="s">
        <v>429</v>
      </c>
      <c r="B198" s="13" t="s">
        <v>430</v>
      </c>
      <c r="C198" s="14">
        <v>1.62179695</v>
      </c>
    </row>
    <row r="199" spans="1:3" ht="20.25" customHeight="1">
      <c r="A199" s="13" t="s">
        <v>431</v>
      </c>
      <c r="B199" s="13" t="s">
        <v>432</v>
      </c>
      <c r="C199" s="14">
        <v>2.2628153370000001</v>
      </c>
    </row>
    <row r="200" spans="1:3" ht="20.25" customHeight="1">
      <c r="A200" s="13" t="s">
        <v>433</v>
      </c>
      <c r="B200" s="13" t="s">
        <v>434</v>
      </c>
      <c r="C200" s="14">
        <v>2.112279129</v>
      </c>
    </row>
    <row r="201" spans="1:3" ht="20.25" customHeight="1">
      <c r="A201" s="13" t="s">
        <v>435</v>
      </c>
      <c r="B201" s="13" t="s">
        <v>436</v>
      </c>
      <c r="C201" s="14">
        <v>-0.16860796</v>
      </c>
    </row>
    <row r="202" spans="1:3" ht="20.25" customHeight="1">
      <c r="A202" s="13" t="s">
        <v>10</v>
      </c>
      <c r="B202" s="13" t="s">
        <v>437</v>
      </c>
      <c r="C202" s="14">
        <v>3.2285059999999997E-2</v>
      </c>
    </row>
    <row r="203" spans="1:3" ht="20.25" customHeight="1">
      <c r="A203" s="13" t="s">
        <v>49</v>
      </c>
      <c r="B203" s="13" t="s">
        <v>438</v>
      </c>
      <c r="C203" s="14">
        <v>3.886473493</v>
      </c>
    </row>
    <row r="204" spans="1:3" ht="20.25" customHeight="1">
      <c r="A204" s="13" t="s">
        <v>48</v>
      </c>
      <c r="B204" s="13" t="s">
        <v>439</v>
      </c>
      <c r="C204" s="14">
        <v>-1.73680981</v>
      </c>
    </row>
    <row r="205" spans="1:3" ht="20.25" customHeight="1">
      <c r="A205" s="13" t="s">
        <v>124</v>
      </c>
      <c r="B205" s="13" t="s">
        <v>440</v>
      </c>
      <c r="C205" s="14">
        <v>2.2912148879999998</v>
      </c>
    </row>
    <row r="206" spans="1:3" ht="20.25" customHeight="1">
      <c r="A206" s="13" t="s">
        <v>441</v>
      </c>
      <c r="B206" s="13" t="s">
        <v>442</v>
      </c>
      <c r="C206" s="14">
        <v>1.3542743719999999</v>
      </c>
    </row>
    <row r="207" spans="1:3" ht="20.25" customHeight="1">
      <c r="A207" s="13" t="s">
        <v>443</v>
      </c>
      <c r="B207" s="13" t="s">
        <v>444</v>
      </c>
      <c r="C207" s="14">
        <v>2.1556449629999999</v>
      </c>
    </row>
    <row r="208" spans="1:3" ht="20.25" customHeight="1">
      <c r="A208" s="13" t="s">
        <v>122</v>
      </c>
      <c r="B208" s="13" t="s">
        <v>445</v>
      </c>
      <c r="C208" s="14">
        <v>1.1100042160000001</v>
      </c>
    </row>
    <row r="209" spans="1:3" ht="20.25" customHeight="1">
      <c r="A209" s="13" t="s">
        <v>115</v>
      </c>
      <c r="B209" s="13" t="s">
        <v>446</v>
      </c>
      <c r="C209" s="14">
        <v>10.5411242</v>
      </c>
    </row>
    <row r="210" spans="1:3" ht="20.25" customHeight="1">
      <c r="A210" s="13" t="s">
        <v>447</v>
      </c>
      <c r="B210" s="13" t="s">
        <v>448</v>
      </c>
      <c r="C210" s="14">
        <v>28.31881564</v>
      </c>
    </row>
    <row r="211" spans="1:3" ht="20.25" customHeight="1">
      <c r="A211" s="13" t="s">
        <v>449</v>
      </c>
      <c r="B211" s="13" t="s">
        <v>450</v>
      </c>
      <c r="C211" s="14">
        <v>2.7762759780000001</v>
      </c>
    </row>
    <row r="212" spans="1:3" ht="20.25" customHeight="1">
      <c r="A212" s="13" t="s">
        <v>451</v>
      </c>
      <c r="B212" s="13" t="s">
        <v>452</v>
      </c>
      <c r="C212" s="14">
        <v>2.0361950439999998</v>
      </c>
    </row>
    <row r="213" spans="1:3" ht="20.25" customHeight="1">
      <c r="A213" s="13" t="s">
        <v>83</v>
      </c>
      <c r="B213" s="13" t="s">
        <v>453</v>
      </c>
      <c r="C213" s="14">
        <v>8.2318757000000006E-2</v>
      </c>
    </row>
    <row r="214" spans="1:3" ht="20.25" customHeight="1">
      <c r="A214" s="13" t="s">
        <v>454</v>
      </c>
      <c r="B214" s="13" t="s">
        <v>455</v>
      </c>
      <c r="C214" s="14">
        <v>3.928901347</v>
      </c>
    </row>
    <row r="215" spans="1:3" ht="20.25" customHeight="1">
      <c r="A215" s="13" t="s">
        <v>456</v>
      </c>
      <c r="B215" s="13" t="s">
        <v>457</v>
      </c>
      <c r="C215" s="14">
        <v>6.2334607469999996</v>
      </c>
    </row>
    <row r="216" spans="1:3" ht="20.25" customHeight="1">
      <c r="A216" s="13" t="s">
        <v>61</v>
      </c>
      <c r="B216" s="13" t="s">
        <v>458</v>
      </c>
      <c r="C216" s="14">
        <v>6.9035414040000003</v>
      </c>
    </row>
    <row r="217" spans="1:3" ht="20.25" customHeight="1">
      <c r="A217" s="13" t="s">
        <v>459</v>
      </c>
      <c r="B217" s="13" t="s">
        <v>460</v>
      </c>
      <c r="C217" s="14">
        <v>1.5156575619999999</v>
      </c>
    </row>
    <row r="218" spans="1:3" ht="20.25" customHeight="1">
      <c r="A218" s="13" t="s">
        <v>461</v>
      </c>
      <c r="B218" s="13" t="s">
        <v>462</v>
      </c>
      <c r="C218" s="13"/>
    </row>
    <row r="219" spans="1:3" ht="20.25" customHeight="1">
      <c r="A219" s="13" t="s">
        <v>463</v>
      </c>
      <c r="B219" s="13" t="s">
        <v>464</v>
      </c>
      <c r="C219" s="14">
        <v>1.601585993</v>
      </c>
    </row>
    <row r="220" spans="1:3" ht="20.25" customHeight="1">
      <c r="A220" s="13" t="s">
        <v>465</v>
      </c>
      <c r="B220" s="13" t="s">
        <v>466</v>
      </c>
      <c r="C220" s="14">
        <v>10.146090040000001</v>
      </c>
    </row>
    <row r="221" spans="1:3" ht="20.25" customHeight="1">
      <c r="A221" s="13" t="s">
        <v>467</v>
      </c>
      <c r="B221" s="13" t="s">
        <v>468</v>
      </c>
      <c r="C221" s="14">
        <v>10.281991639999999</v>
      </c>
    </row>
    <row r="222" spans="1:3" ht="20.25" customHeight="1">
      <c r="A222" s="13" t="s">
        <v>469</v>
      </c>
      <c r="B222" s="13" t="s">
        <v>470</v>
      </c>
      <c r="C222" s="14">
        <v>-0.24541901999999999</v>
      </c>
    </row>
    <row r="223" spans="1:3" ht="20.25" customHeight="1">
      <c r="A223" s="13" t="s">
        <v>40</v>
      </c>
      <c r="B223" s="13" t="s">
        <v>471</v>
      </c>
      <c r="C223" s="14">
        <v>4.168720059</v>
      </c>
    </row>
    <row r="224" spans="1:3" ht="20.25" customHeight="1">
      <c r="A224" s="13" t="s">
        <v>34</v>
      </c>
      <c r="B224" s="13" t="s">
        <v>472</v>
      </c>
      <c r="C224" s="14">
        <v>3.6401085790000001</v>
      </c>
    </row>
    <row r="225" spans="1:3" ht="20.25" customHeight="1">
      <c r="A225" s="13" t="s">
        <v>17</v>
      </c>
      <c r="B225" s="13" t="s">
        <v>473</v>
      </c>
      <c r="C225" s="14">
        <v>9.3522822879999996</v>
      </c>
    </row>
    <row r="226" spans="1:3" ht="20.25" customHeight="1">
      <c r="A226" s="13" t="s">
        <v>93</v>
      </c>
      <c r="B226" s="13" t="s">
        <v>474</v>
      </c>
      <c r="C226" s="14">
        <v>0.28125560999999999</v>
      </c>
    </row>
    <row r="227" spans="1:3" ht="20.25" customHeight="1">
      <c r="A227" s="13" t="s">
        <v>475</v>
      </c>
      <c r="B227" s="13" t="s">
        <v>476</v>
      </c>
      <c r="C227" s="14">
        <v>1.0725730149999999</v>
      </c>
    </row>
    <row r="228" spans="1:3" ht="20.25" customHeight="1">
      <c r="A228" s="13" t="s">
        <v>477</v>
      </c>
      <c r="B228" s="13" t="s">
        <v>478</v>
      </c>
      <c r="C228" s="14">
        <v>9.4050937700000006</v>
      </c>
    </row>
    <row r="229" spans="1:3" ht="20.25" customHeight="1">
      <c r="A229" s="13" t="s">
        <v>479</v>
      </c>
      <c r="B229" s="13" t="s">
        <v>480</v>
      </c>
      <c r="C229" s="13"/>
    </row>
    <row r="230" spans="1:3" ht="20.25" customHeight="1">
      <c r="A230" s="13" t="s">
        <v>481</v>
      </c>
      <c r="B230" s="13" t="s">
        <v>482</v>
      </c>
      <c r="C230" s="14">
        <v>2.440522718</v>
      </c>
    </row>
    <row r="231" spans="1:3" ht="20.25" customHeight="1">
      <c r="A231" s="13" t="s">
        <v>125</v>
      </c>
      <c r="B231" s="13" t="s">
        <v>483</v>
      </c>
      <c r="C231" s="14">
        <v>3.4440262750000001</v>
      </c>
    </row>
    <row r="232" spans="1:3" ht="20.25" customHeight="1">
      <c r="A232" s="13" t="s">
        <v>484</v>
      </c>
      <c r="B232" s="13" t="s">
        <v>485</v>
      </c>
      <c r="C232" s="14">
        <v>1.2940662540000001</v>
      </c>
    </row>
    <row r="233" spans="1:3" ht="20.25" customHeight="1">
      <c r="A233" s="13" t="s">
        <v>486</v>
      </c>
      <c r="B233" s="13" t="s">
        <v>487</v>
      </c>
      <c r="C233" s="14">
        <v>1.053602003</v>
      </c>
    </row>
    <row r="234" spans="1:3" ht="20.25" customHeight="1">
      <c r="A234" s="13" t="s">
        <v>127</v>
      </c>
      <c r="B234" s="13" t="s">
        <v>488</v>
      </c>
      <c r="C234" s="14">
        <v>-2.00429827</v>
      </c>
    </row>
    <row r="235" spans="1:3" ht="20.25" customHeight="1">
      <c r="A235" s="13" t="s">
        <v>73</v>
      </c>
      <c r="B235" s="13" t="s">
        <v>489</v>
      </c>
      <c r="C235" s="14">
        <v>2.391798418</v>
      </c>
    </row>
    <row r="236" spans="1:3" ht="20.25" customHeight="1">
      <c r="A236" s="13" t="s">
        <v>121</v>
      </c>
      <c r="B236" s="13" t="s">
        <v>490</v>
      </c>
      <c r="C236" s="14">
        <v>1.6243228750000001</v>
      </c>
    </row>
    <row r="237" spans="1:3" ht="20.25" customHeight="1">
      <c r="A237" s="13" t="s">
        <v>491</v>
      </c>
      <c r="B237" s="13" t="s">
        <v>492</v>
      </c>
      <c r="C237" s="14">
        <v>2.2176450120000002</v>
      </c>
    </row>
    <row r="238" spans="1:3" ht="20.25" customHeight="1">
      <c r="A238" s="13" t="s">
        <v>493</v>
      </c>
      <c r="B238" s="13" t="s">
        <v>494</v>
      </c>
      <c r="C238" s="14">
        <v>3.4737017529999998</v>
      </c>
    </row>
    <row r="239" spans="1:3" ht="20.25" customHeight="1">
      <c r="A239" s="13" t="s">
        <v>495</v>
      </c>
      <c r="B239" s="13" t="s">
        <v>496</v>
      </c>
      <c r="C239" s="14">
        <v>1.6724857529999999</v>
      </c>
    </row>
    <row r="240" spans="1:3" ht="20.25" customHeight="1">
      <c r="A240" s="13" t="s">
        <v>497</v>
      </c>
      <c r="B240" s="13" t="s">
        <v>498</v>
      </c>
      <c r="C240" s="14">
        <v>0.85728352500000005</v>
      </c>
    </row>
    <row r="241" spans="1:3" ht="20.25" customHeight="1">
      <c r="A241" s="13" t="s">
        <v>499</v>
      </c>
      <c r="B241" s="13" t="s">
        <v>500</v>
      </c>
      <c r="C241" s="14">
        <v>0.52317624799999995</v>
      </c>
    </row>
    <row r="242" spans="1:3" ht="20.25" customHeight="1">
      <c r="A242" s="13" t="s">
        <v>501</v>
      </c>
      <c r="B242" s="13" t="s">
        <v>502</v>
      </c>
      <c r="C242" s="14">
        <v>1.3542743719999999</v>
      </c>
    </row>
    <row r="243" spans="1:3" ht="20.25" customHeight="1">
      <c r="A243" s="13" t="s">
        <v>503</v>
      </c>
      <c r="B243" s="13" t="s">
        <v>504</v>
      </c>
      <c r="C243" s="14">
        <v>1.601585993</v>
      </c>
    </row>
    <row r="244" spans="1:3" ht="20.25" customHeight="1">
      <c r="A244" s="13" t="s">
        <v>505</v>
      </c>
      <c r="B244" s="13" t="s">
        <v>506</v>
      </c>
      <c r="C244" s="14">
        <v>4.1369722629999996</v>
      </c>
    </row>
    <row r="245" spans="1:3" ht="20.25" customHeight="1">
      <c r="A245" s="13" t="s">
        <v>94</v>
      </c>
      <c r="B245" s="13" t="s">
        <v>507</v>
      </c>
      <c r="C245" s="14">
        <v>1.4315919989999999</v>
      </c>
    </row>
    <row r="246" spans="1:3" ht="20.25" customHeight="1">
      <c r="A246" s="13" t="s">
        <v>58</v>
      </c>
      <c r="B246" s="13" t="s">
        <v>508</v>
      </c>
      <c r="C246" s="14">
        <v>1.4883962369999999</v>
      </c>
    </row>
    <row r="247" spans="1:3" ht="20.25" customHeight="1">
      <c r="A247" s="13" t="s">
        <v>509</v>
      </c>
      <c r="B247" s="13" t="s">
        <v>510</v>
      </c>
      <c r="C247" s="14">
        <v>0.33763935299999998</v>
      </c>
    </row>
    <row r="248" spans="1:3" ht="20.25" customHeight="1">
      <c r="A248" s="13" t="s">
        <v>120</v>
      </c>
      <c r="B248" s="13" t="s">
        <v>511</v>
      </c>
      <c r="C248" s="14">
        <v>1.897811004</v>
      </c>
    </row>
    <row r="249" spans="1:3" ht="20.25" customHeight="1">
      <c r="A249" s="13" t="s">
        <v>126</v>
      </c>
      <c r="B249" s="13" t="s">
        <v>512</v>
      </c>
      <c r="C249" s="14">
        <v>6.480676163</v>
      </c>
    </row>
    <row r="250" spans="1:3" ht="20.25" customHeight="1">
      <c r="A250" s="13" t="s">
        <v>91</v>
      </c>
      <c r="B250" s="13" t="s">
        <v>513</v>
      </c>
      <c r="C250" s="14">
        <v>0.13642857799999999</v>
      </c>
    </row>
    <row r="251" spans="1:3" ht="20.25" customHeight="1">
      <c r="A251" s="13" t="s">
        <v>514</v>
      </c>
      <c r="B251" s="13" t="s">
        <v>515</v>
      </c>
      <c r="C251" s="14">
        <v>1.580707944</v>
      </c>
    </row>
    <row r="252" spans="1:3" ht="20.25" customHeight="1">
      <c r="A252" s="13" t="s">
        <v>42</v>
      </c>
      <c r="B252" s="13" t="s">
        <v>516</v>
      </c>
      <c r="C252" s="14">
        <v>12.48040634</v>
      </c>
    </row>
    <row r="253" spans="1:3" ht="20.25" customHeight="1">
      <c r="A253" s="13" t="s">
        <v>11</v>
      </c>
      <c r="B253" s="13" t="s">
        <v>517</v>
      </c>
      <c r="C253" s="14">
        <v>1.6281681699999999</v>
      </c>
    </row>
    <row r="254" spans="1:3" ht="20.25" customHeight="1">
      <c r="A254" s="13" t="s">
        <v>104</v>
      </c>
      <c r="B254" s="13" t="s">
        <v>518</v>
      </c>
      <c r="C254" s="14">
        <v>2.949474484</v>
      </c>
    </row>
    <row r="255" spans="1:3" ht="20.25" customHeight="1">
      <c r="A255" s="13" t="s">
        <v>519</v>
      </c>
      <c r="B255" s="13" t="s">
        <v>520</v>
      </c>
      <c r="C255" s="14">
        <v>6.5951471650000002</v>
      </c>
    </row>
    <row r="256" spans="1:3" ht="20.25" customHeight="1">
      <c r="A256" s="13" t="s">
        <v>100</v>
      </c>
      <c r="B256" s="13" t="s">
        <v>521</v>
      </c>
      <c r="C256" s="14">
        <v>2.6389328019999998</v>
      </c>
    </row>
    <row r="257" spans="1:3" ht="20.25" customHeight="1">
      <c r="A257" s="13" t="s">
        <v>522</v>
      </c>
      <c r="B257" s="13" t="s">
        <v>523</v>
      </c>
      <c r="C257" s="13"/>
    </row>
    <row r="258" spans="1:3" ht="20.25" customHeight="1">
      <c r="A258" s="13" t="s">
        <v>524</v>
      </c>
      <c r="B258" s="13" t="s">
        <v>525</v>
      </c>
      <c r="C258" s="13"/>
    </row>
    <row r="259" spans="1:3" ht="20.25" customHeight="1">
      <c r="A259" s="13" t="s">
        <v>92</v>
      </c>
      <c r="B259" s="13" t="s">
        <v>526</v>
      </c>
      <c r="C259" s="14">
        <v>4.3294730890000004</v>
      </c>
    </row>
    <row r="260" spans="1:3" ht="20.25" customHeight="1">
      <c r="A260" s="13" t="s">
        <v>527</v>
      </c>
      <c r="B260" s="13" t="s">
        <v>528</v>
      </c>
      <c r="C260" s="14">
        <v>1.013712352</v>
      </c>
    </row>
    <row r="261" spans="1:3" ht="20.25" customHeight="1">
      <c r="A261" s="13" t="s">
        <v>529</v>
      </c>
      <c r="B261" s="13" t="s">
        <v>530</v>
      </c>
      <c r="C261" s="14">
        <v>1.865110432</v>
      </c>
    </row>
    <row r="262" spans="1:3" ht="20.25" customHeight="1">
      <c r="A262" s="13" t="s">
        <v>531</v>
      </c>
      <c r="B262" s="13" t="s">
        <v>532</v>
      </c>
      <c r="C262" s="14">
        <v>0.53964701699999995</v>
      </c>
    </row>
    <row r="263" spans="1:3" ht="20.25" customHeight="1">
      <c r="A263" s="13" t="s">
        <v>533</v>
      </c>
      <c r="B263" s="13" t="s">
        <v>534</v>
      </c>
      <c r="C263" s="14">
        <v>8.1685714090000001</v>
      </c>
    </row>
    <row r="264" spans="1:3" ht="20.25" customHeight="1">
      <c r="A264" s="13" t="s">
        <v>535</v>
      </c>
      <c r="B264" s="13" t="s">
        <v>536</v>
      </c>
      <c r="C264" s="13"/>
    </row>
    <row r="265" spans="1:3" ht="20.25" customHeight="1">
      <c r="A265" s="13" t="s">
        <v>537</v>
      </c>
      <c r="B265" s="13" t="s">
        <v>538</v>
      </c>
      <c r="C265" s="14">
        <v>2.2667027769999999</v>
      </c>
    </row>
    <row r="266" spans="1:3" ht="20.25" customHeight="1">
      <c r="A266" s="13" t="s">
        <v>117</v>
      </c>
      <c r="B266" s="13" t="s">
        <v>539</v>
      </c>
      <c r="C266" s="14">
        <v>-0.22328676</v>
      </c>
    </row>
    <row r="267" spans="1:3" ht="20.25" customHeight="1">
      <c r="A267" s="13" t="s">
        <v>105</v>
      </c>
      <c r="B267" s="13" t="s">
        <v>540</v>
      </c>
      <c r="C267" s="14">
        <v>0.82625403900000005</v>
      </c>
    </row>
    <row r="268" spans="1:3" ht="15.75" customHeight="1">
      <c r="A268" s="9"/>
      <c r="B268" s="9"/>
      <c r="C268" s="9"/>
    </row>
    <row r="269" spans="1:3" ht="15.75" customHeight="1">
      <c r="A269" s="9"/>
      <c r="B269" s="9"/>
      <c r="C269" s="9"/>
    </row>
    <row r="270" spans="1:3" ht="15.75" customHeight="1">
      <c r="A270" s="9"/>
      <c r="B270" s="9"/>
      <c r="C270" s="9"/>
    </row>
    <row r="271" spans="1:3" ht="15.75" customHeight="1">
      <c r="A271" s="9"/>
      <c r="B271" s="9"/>
      <c r="C271" s="9"/>
    </row>
    <row r="272" spans="1:3" ht="15.75" customHeight="1">
      <c r="A272" s="9"/>
      <c r="B272" s="9"/>
      <c r="C272" s="9"/>
    </row>
    <row r="273" spans="1:3" ht="15.75" customHeight="1">
      <c r="A273" s="9"/>
      <c r="B273" s="9"/>
      <c r="C273" s="9"/>
    </row>
    <row r="274" spans="1:3" ht="15.75" customHeight="1">
      <c r="A274" s="9"/>
      <c r="B274" s="9"/>
      <c r="C274" s="9"/>
    </row>
    <row r="275" spans="1:3" ht="15.75" customHeight="1">
      <c r="A275" s="9"/>
      <c r="B275" s="9"/>
      <c r="C275" s="9"/>
    </row>
    <row r="276" spans="1:3" ht="15.75" customHeight="1">
      <c r="A276" s="9"/>
      <c r="B276" s="9"/>
      <c r="C276" s="9"/>
    </row>
    <row r="277" spans="1:3" ht="15.75" customHeight="1">
      <c r="A277" s="9"/>
      <c r="B277" s="9"/>
      <c r="C277" s="9"/>
    </row>
    <row r="278" spans="1:3" ht="15.75" customHeight="1">
      <c r="A278" s="9"/>
      <c r="B278" s="9"/>
      <c r="C278" s="9"/>
    </row>
    <row r="279" spans="1:3" ht="15.75" customHeight="1">
      <c r="A279" s="9"/>
      <c r="B279" s="9"/>
      <c r="C279" s="9"/>
    </row>
    <row r="280" spans="1:3" ht="15.75" customHeight="1">
      <c r="A280" s="9"/>
      <c r="B280" s="9"/>
      <c r="C280" s="9"/>
    </row>
    <row r="281" spans="1:3" ht="15.75" customHeight="1">
      <c r="A281" s="9"/>
      <c r="B281" s="9"/>
      <c r="C281" s="9"/>
    </row>
    <row r="282" spans="1:3" ht="15.75" customHeight="1">
      <c r="A282" s="9"/>
      <c r="B282" s="9"/>
      <c r="C282" s="9"/>
    </row>
    <row r="283" spans="1:3" ht="15.75" customHeight="1">
      <c r="A283" s="9"/>
      <c r="B283" s="9"/>
      <c r="C283" s="9"/>
    </row>
    <row r="284" spans="1:3" ht="15.75" customHeight="1">
      <c r="A284" s="9"/>
      <c r="B284" s="9"/>
      <c r="C284" s="9"/>
    </row>
    <row r="285" spans="1:3" ht="15.75" customHeight="1">
      <c r="A285" s="9"/>
      <c r="B285" s="9"/>
      <c r="C285" s="9"/>
    </row>
    <row r="286" spans="1:3" ht="15.75" customHeight="1">
      <c r="A286" s="9"/>
      <c r="B286" s="9"/>
      <c r="C286" s="9"/>
    </row>
    <row r="287" spans="1:3" ht="15.75" customHeight="1">
      <c r="A287" s="9"/>
      <c r="B287" s="9"/>
      <c r="C287" s="9"/>
    </row>
    <row r="288" spans="1:3" ht="15.75" customHeight="1">
      <c r="A288" s="9"/>
      <c r="B288" s="9"/>
      <c r="C288" s="9"/>
    </row>
    <row r="289" spans="1:3" ht="15.75" customHeight="1">
      <c r="A289" s="9"/>
      <c r="B289" s="9"/>
      <c r="C289" s="9"/>
    </row>
    <row r="290" spans="1:3" ht="15.75" customHeight="1">
      <c r="A290" s="9"/>
      <c r="B290" s="9"/>
      <c r="C290" s="9"/>
    </row>
    <row r="291" spans="1:3" ht="15.75" customHeight="1">
      <c r="A291" s="9"/>
      <c r="B291" s="9"/>
      <c r="C291" s="9"/>
    </row>
    <row r="292" spans="1:3" ht="15.75" customHeight="1">
      <c r="A292" s="9"/>
      <c r="B292" s="9"/>
      <c r="C292" s="9"/>
    </row>
    <row r="293" spans="1:3" ht="15.75" customHeight="1">
      <c r="A293" s="9"/>
      <c r="B293" s="9"/>
      <c r="C293" s="9"/>
    </row>
    <row r="294" spans="1:3" ht="15.75" customHeight="1">
      <c r="A294" s="9"/>
      <c r="B294" s="9"/>
      <c r="C294" s="9"/>
    </row>
    <row r="295" spans="1:3" ht="15.75" customHeight="1">
      <c r="A295" s="9"/>
      <c r="B295" s="9"/>
      <c r="C295" s="9"/>
    </row>
    <row r="296" spans="1:3" ht="15.75" customHeight="1">
      <c r="A296" s="9"/>
      <c r="B296" s="9"/>
      <c r="C296" s="9"/>
    </row>
    <row r="297" spans="1:3" ht="15.75" customHeight="1">
      <c r="A297" s="9"/>
      <c r="B297" s="9"/>
      <c r="C297" s="9"/>
    </row>
    <row r="298" spans="1:3" ht="15.75" customHeight="1">
      <c r="A298" s="9"/>
      <c r="B298" s="9"/>
      <c r="C298" s="9"/>
    </row>
    <row r="299" spans="1:3" ht="15.75" customHeight="1">
      <c r="A299" s="9"/>
      <c r="B299" s="9"/>
      <c r="C299" s="9"/>
    </row>
    <row r="300" spans="1:3" ht="15.75" customHeight="1">
      <c r="A300" s="9"/>
      <c r="B300" s="9"/>
      <c r="C300" s="9"/>
    </row>
    <row r="301" spans="1:3" ht="15.75" customHeight="1">
      <c r="A301" s="9"/>
      <c r="B301" s="9"/>
      <c r="C301" s="9"/>
    </row>
    <row r="302" spans="1:3" ht="15.75" customHeight="1">
      <c r="A302" s="9"/>
      <c r="B302" s="9"/>
      <c r="C302" s="9"/>
    </row>
    <row r="303" spans="1:3" ht="15.75" customHeight="1">
      <c r="A303" s="9"/>
      <c r="B303" s="9"/>
      <c r="C303" s="9"/>
    </row>
    <row r="304" spans="1:3" ht="15.75" customHeight="1">
      <c r="A304" s="9"/>
      <c r="B304" s="9"/>
      <c r="C304" s="9"/>
    </row>
    <row r="305" spans="1:3" ht="15.75" customHeight="1">
      <c r="A305" s="9"/>
      <c r="B305" s="9"/>
      <c r="C305" s="9"/>
    </row>
    <row r="306" spans="1:3" ht="15.75" customHeight="1">
      <c r="A306" s="9"/>
      <c r="B306" s="9"/>
      <c r="C306" s="9"/>
    </row>
    <row r="307" spans="1:3" ht="15.75" customHeight="1">
      <c r="A307" s="9"/>
      <c r="B307" s="9"/>
      <c r="C307" s="9"/>
    </row>
    <row r="308" spans="1:3" ht="15.75" customHeight="1">
      <c r="A308" s="9"/>
      <c r="B308" s="9"/>
      <c r="C308" s="9"/>
    </row>
    <row r="309" spans="1:3" ht="15.75" customHeight="1">
      <c r="A309" s="9"/>
      <c r="B309" s="9"/>
      <c r="C309" s="9"/>
    </row>
    <row r="310" spans="1:3" ht="15.75" customHeight="1">
      <c r="A310" s="9"/>
      <c r="B310" s="9"/>
      <c r="C310" s="9"/>
    </row>
    <row r="311" spans="1:3" ht="15.75" customHeight="1">
      <c r="A311" s="9"/>
      <c r="B311" s="9"/>
      <c r="C311" s="9"/>
    </row>
    <row r="312" spans="1:3" ht="15.75" customHeight="1">
      <c r="A312" s="9"/>
      <c r="B312" s="9"/>
      <c r="C312" s="9"/>
    </row>
    <row r="313" spans="1:3" ht="15.75" customHeight="1">
      <c r="A313" s="9"/>
      <c r="B313" s="9"/>
      <c r="C313" s="9"/>
    </row>
    <row r="314" spans="1:3" ht="15.75" customHeight="1">
      <c r="A314" s="9"/>
      <c r="B314" s="9"/>
      <c r="C314" s="9"/>
    </row>
    <row r="315" spans="1:3" ht="15.75" customHeight="1">
      <c r="A315" s="9"/>
      <c r="B315" s="9"/>
      <c r="C315" s="9"/>
    </row>
    <row r="316" spans="1:3" ht="15.75" customHeight="1">
      <c r="A316" s="9"/>
      <c r="B316" s="9"/>
      <c r="C316" s="9"/>
    </row>
    <row r="317" spans="1:3" ht="15.75" customHeight="1">
      <c r="A317" s="9"/>
      <c r="B317" s="9"/>
      <c r="C317" s="9"/>
    </row>
    <row r="318" spans="1:3" ht="15.75" customHeight="1">
      <c r="A318" s="9"/>
      <c r="B318" s="9"/>
      <c r="C318" s="9"/>
    </row>
    <row r="319" spans="1:3" ht="15.75" customHeight="1">
      <c r="A319" s="9"/>
      <c r="B319" s="9"/>
      <c r="C319" s="9"/>
    </row>
    <row r="320" spans="1:3" ht="15.75" customHeight="1">
      <c r="A320" s="9"/>
      <c r="B320" s="9"/>
      <c r="C320" s="9"/>
    </row>
    <row r="321" spans="1:3" ht="15.75" customHeight="1">
      <c r="A321" s="9"/>
      <c r="B321" s="9"/>
      <c r="C321" s="9"/>
    </row>
    <row r="322" spans="1:3" ht="15.75" customHeight="1">
      <c r="A322" s="9"/>
      <c r="B322" s="9"/>
      <c r="C322" s="9"/>
    </row>
    <row r="323" spans="1:3" ht="15.75" customHeight="1">
      <c r="A323" s="9"/>
      <c r="B323" s="9"/>
      <c r="C323" s="9"/>
    </row>
    <row r="324" spans="1:3" ht="15.75" customHeight="1">
      <c r="A324" s="9"/>
      <c r="B324" s="9"/>
      <c r="C324" s="9"/>
    </row>
    <row r="325" spans="1:3" ht="15.75" customHeight="1">
      <c r="A325" s="9"/>
      <c r="B325" s="9"/>
      <c r="C325" s="9"/>
    </row>
    <row r="326" spans="1:3" ht="15.75" customHeight="1">
      <c r="A326" s="9"/>
      <c r="B326" s="9"/>
      <c r="C326" s="9"/>
    </row>
    <row r="327" spans="1:3" ht="15.75" customHeight="1">
      <c r="A327" s="9"/>
      <c r="B327" s="9"/>
      <c r="C327" s="9"/>
    </row>
    <row r="328" spans="1:3" ht="15.75" customHeight="1">
      <c r="A328" s="9"/>
      <c r="B328" s="9"/>
      <c r="C328" s="9"/>
    </row>
    <row r="329" spans="1:3" ht="15.75" customHeight="1">
      <c r="A329" s="9"/>
      <c r="B329" s="9"/>
      <c r="C329" s="9"/>
    </row>
    <row r="330" spans="1:3" ht="15.75" customHeight="1">
      <c r="A330" s="9"/>
      <c r="B330" s="9"/>
      <c r="C330" s="9"/>
    </row>
    <row r="331" spans="1:3" ht="15.75" customHeight="1">
      <c r="A331" s="9"/>
      <c r="B331" s="9"/>
      <c r="C331" s="9"/>
    </row>
    <row r="332" spans="1:3" ht="15.75" customHeight="1">
      <c r="A332" s="9"/>
      <c r="B332" s="9"/>
      <c r="C332" s="9"/>
    </row>
    <row r="333" spans="1:3" ht="15.75" customHeight="1">
      <c r="A333" s="9"/>
      <c r="B333" s="9"/>
      <c r="C333" s="9"/>
    </row>
    <row r="334" spans="1:3" ht="15.75" customHeight="1">
      <c r="A334" s="9"/>
      <c r="B334" s="9"/>
      <c r="C334" s="9"/>
    </row>
    <row r="335" spans="1:3" ht="15.75" customHeight="1">
      <c r="A335" s="9"/>
      <c r="B335" s="9"/>
      <c r="C335" s="9"/>
    </row>
    <row r="336" spans="1:3" ht="15.75" customHeight="1">
      <c r="A336" s="9"/>
      <c r="B336" s="9"/>
      <c r="C336" s="9"/>
    </row>
    <row r="337" spans="1:3" ht="15.75" customHeight="1">
      <c r="A337" s="9"/>
      <c r="B337" s="9"/>
      <c r="C337" s="9"/>
    </row>
    <row r="338" spans="1:3" ht="15.75" customHeight="1">
      <c r="A338" s="9"/>
      <c r="B338" s="9"/>
      <c r="C338" s="9"/>
    </row>
    <row r="339" spans="1:3" ht="15.75" customHeight="1">
      <c r="A339" s="9"/>
      <c r="B339" s="9"/>
      <c r="C339" s="9"/>
    </row>
    <row r="340" spans="1:3" ht="15.75" customHeight="1">
      <c r="A340" s="9"/>
      <c r="B340" s="9"/>
      <c r="C340" s="9"/>
    </row>
    <row r="341" spans="1:3" ht="15.75" customHeight="1">
      <c r="A341" s="9"/>
      <c r="B341" s="9"/>
      <c r="C341" s="9"/>
    </row>
    <row r="342" spans="1:3" ht="15.75" customHeight="1">
      <c r="A342" s="9"/>
      <c r="B342" s="9"/>
      <c r="C342" s="9"/>
    </row>
    <row r="343" spans="1:3" ht="15.75" customHeight="1">
      <c r="A343" s="9"/>
      <c r="B343" s="9"/>
      <c r="C343" s="9"/>
    </row>
    <row r="344" spans="1:3" ht="15.75" customHeight="1">
      <c r="A344" s="9"/>
      <c r="B344" s="9"/>
      <c r="C344" s="9"/>
    </row>
    <row r="345" spans="1:3" ht="15.75" customHeight="1">
      <c r="A345" s="9"/>
      <c r="B345" s="9"/>
      <c r="C345" s="9"/>
    </row>
    <row r="346" spans="1:3" ht="15.75" customHeight="1">
      <c r="A346" s="9"/>
      <c r="B346" s="9"/>
      <c r="C346" s="9"/>
    </row>
    <row r="347" spans="1:3" ht="15.75" customHeight="1">
      <c r="A347" s="9"/>
      <c r="B347" s="9"/>
      <c r="C347" s="9"/>
    </row>
    <row r="348" spans="1:3" ht="15.75" customHeight="1">
      <c r="A348" s="9"/>
      <c r="B348" s="9"/>
      <c r="C348" s="9"/>
    </row>
    <row r="349" spans="1:3" ht="15.75" customHeight="1">
      <c r="A349" s="9"/>
      <c r="B349" s="9"/>
      <c r="C349" s="9"/>
    </row>
    <row r="350" spans="1:3" ht="15.75" customHeight="1">
      <c r="A350" s="9"/>
      <c r="B350" s="9"/>
      <c r="C350" s="9"/>
    </row>
    <row r="351" spans="1:3" ht="15.75" customHeight="1">
      <c r="A351" s="9"/>
      <c r="B351" s="9"/>
      <c r="C351" s="9"/>
    </row>
    <row r="352" spans="1:3" ht="15.75" customHeight="1">
      <c r="A352" s="9"/>
      <c r="B352" s="9"/>
      <c r="C352" s="9"/>
    </row>
    <row r="353" spans="1:3" ht="15.75" customHeight="1">
      <c r="A353" s="9"/>
      <c r="B353" s="9"/>
      <c r="C353" s="9"/>
    </row>
    <row r="354" spans="1:3" ht="15.75" customHeight="1">
      <c r="A354" s="9"/>
      <c r="B354" s="9"/>
      <c r="C354" s="9"/>
    </row>
    <row r="355" spans="1:3" ht="15.75" customHeight="1">
      <c r="A355" s="9"/>
      <c r="B355" s="9"/>
      <c r="C355" s="9"/>
    </row>
    <row r="356" spans="1:3" ht="15.75" customHeight="1">
      <c r="A356" s="9"/>
      <c r="B356" s="9"/>
      <c r="C356" s="9"/>
    </row>
    <row r="357" spans="1:3" ht="15.75" customHeight="1">
      <c r="A357" s="9"/>
      <c r="B357" s="9"/>
      <c r="C357" s="9"/>
    </row>
    <row r="358" spans="1:3" ht="15.75" customHeight="1">
      <c r="A358" s="9"/>
      <c r="B358" s="9"/>
      <c r="C358" s="9"/>
    </row>
    <row r="359" spans="1:3" ht="15.75" customHeight="1">
      <c r="A359" s="9"/>
      <c r="B359" s="9"/>
      <c r="C359" s="9"/>
    </row>
    <row r="360" spans="1:3" ht="15.75" customHeight="1">
      <c r="A360" s="9"/>
      <c r="B360" s="9"/>
      <c r="C360" s="9"/>
    </row>
    <row r="361" spans="1:3" ht="15.75" customHeight="1">
      <c r="A361" s="9"/>
      <c r="B361" s="9"/>
      <c r="C361" s="9"/>
    </row>
    <row r="362" spans="1:3" ht="15.75" customHeight="1">
      <c r="A362" s="9"/>
      <c r="B362" s="9"/>
      <c r="C362" s="9"/>
    </row>
    <row r="363" spans="1:3" ht="15.75" customHeight="1">
      <c r="A363" s="9"/>
      <c r="B363" s="9"/>
      <c r="C363" s="9"/>
    </row>
    <row r="364" spans="1:3" ht="15.75" customHeight="1">
      <c r="A364" s="9"/>
      <c r="B364" s="9"/>
      <c r="C364" s="9"/>
    </row>
    <row r="365" spans="1:3" ht="15.75" customHeight="1">
      <c r="A365" s="9"/>
      <c r="B365" s="9"/>
      <c r="C365" s="9"/>
    </row>
    <row r="366" spans="1:3" ht="15.75" customHeight="1">
      <c r="A366" s="9"/>
      <c r="B366" s="9"/>
      <c r="C366" s="9"/>
    </row>
    <row r="367" spans="1:3" ht="15.75" customHeight="1">
      <c r="A367" s="9"/>
      <c r="B367" s="9"/>
      <c r="C367" s="9"/>
    </row>
    <row r="368" spans="1:3" ht="15.75" customHeight="1">
      <c r="A368" s="9"/>
      <c r="B368" s="9"/>
      <c r="C368" s="9"/>
    </row>
    <row r="369" spans="1:3" ht="15.75" customHeight="1">
      <c r="A369" s="9"/>
      <c r="B369" s="9"/>
      <c r="C369" s="9"/>
    </row>
    <row r="370" spans="1:3" ht="15.75" customHeight="1">
      <c r="A370" s="9"/>
      <c r="B370" s="9"/>
      <c r="C370" s="9"/>
    </row>
    <row r="371" spans="1:3" ht="15.75" customHeight="1">
      <c r="A371" s="9"/>
      <c r="B371" s="9"/>
      <c r="C371" s="9"/>
    </row>
    <row r="372" spans="1:3" ht="15.75" customHeight="1">
      <c r="A372" s="9"/>
      <c r="B372" s="9"/>
      <c r="C372" s="9"/>
    </row>
    <row r="373" spans="1:3" ht="15.75" customHeight="1">
      <c r="A373" s="9"/>
      <c r="B373" s="9"/>
      <c r="C373" s="9"/>
    </row>
    <row r="374" spans="1:3" ht="15.75" customHeight="1">
      <c r="A374" s="9"/>
      <c r="B374" s="9"/>
      <c r="C374" s="9"/>
    </row>
    <row r="375" spans="1:3" ht="15.75" customHeight="1">
      <c r="A375" s="9"/>
      <c r="B375" s="9"/>
      <c r="C375" s="9"/>
    </row>
    <row r="376" spans="1:3" ht="15.75" customHeight="1">
      <c r="A376" s="9"/>
      <c r="B376" s="9"/>
      <c r="C376" s="9"/>
    </row>
    <row r="377" spans="1:3" ht="15.75" customHeight="1">
      <c r="A377" s="9"/>
      <c r="B377" s="9"/>
      <c r="C377" s="9"/>
    </row>
    <row r="378" spans="1:3" ht="15.75" customHeight="1">
      <c r="A378" s="9"/>
      <c r="B378" s="9"/>
      <c r="C378" s="9"/>
    </row>
    <row r="379" spans="1:3" ht="15.75" customHeight="1">
      <c r="A379" s="9"/>
      <c r="B379" s="9"/>
      <c r="C379" s="9"/>
    </row>
    <row r="380" spans="1:3" ht="15.75" customHeight="1">
      <c r="A380" s="9"/>
      <c r="B380" s="9"/>
      <c r="C380" s="9"/>
    </row>
    <row r="381" spans="1:3" ht="15.75" customHeight="1">
      <c r="A381" s="9"/>
      <c r="B381" s="9"/>
      <c r="C381" s="9"/>
    </row>
    <row r="382" spans="1:3" ht="15.75" customHeight="1">
      <c r="A382" s="9"/>
      <c r="B382" s="9"/>
      <c r="C382" s="9"/>
    </row>
    <row r="383" spans="1:3" ht="15.75" customHeight="1">
      <c r="A383" s="9"/>
      <c r="B383" s="9"/>
      <c r="C383" s="9"/>
    </row>
    <row r="384" spans="1:3" ht="15.75" customHeight="1">
      <c r="A384" s="9"/>
      <c r="B384" s="9"/>
      <c r="C384" s="9"/>
    </row>
    <row r="385" spans="1:3" ht="15.75" customHeight="1">
      <c r="A385" s="9"/>
      <c r="B385" s="9"/>
      <c r="C385" s="9"/>
    </row>
    <row r="386" spans="1:3" ht="15.75" customHeight="1">
      <c r="A386" s="9"/>
      <c r="B386" s="9"/>
      <c r="C386" s="9"/>
    </row>
    <row r="387" spans="1:3" ht="15.75" customHeight="1">
      <c r="A387" s="9"/>
      <c r="B387" s="9"/>
      <c r="C387" s="9"/>
    </row>
    <row r="388" spans="1:3" ht="15.75" customHeight="1">
      <c r="A388" s="9"/>
      <c r="B388" s="9"/>
      <c r="C388" s="9"/>
    </row>
    <row r="389" spans="1:3" ht="15.75" customHeight="1">
      <c r="A389" s="9"/>
      <c r="B389" s="9"/>
      <c r="C389" s="9"/>
    </row>
    <row r="390" spans="1:3" ht="15.75" customHeight="1">
      <c r="A390" s="9"/>
      <c r="B390" s="9"/>
      <c r="C390" s="9"/>
    </row>
    <row r="391" spans="1:3" ht="15.75" customHeight="1">
      <c r="A391" s="9"/>
      <c r="B391" s="9"/>
      <c r="C391" s="9"/>
    </row>
    <row r="392" spans="1:3" ht="15.75" customHeight="1">
      <c r="A392" s="9"/>
      <c r="B392" s="9"/>
      <c r="C392" s="9"/>
    </row>
    <row r="393" spans="1:3" ht="15.75" customHeight="1">
      <c r="A393" s="9"/>
      <c r="B393" s="9"/>
      <c r="C393" s="9"/>
    </row>
    <row r="394" spans="1:3" ht="15.75" customHeight="1">
      <c r="A394" s="9"/>
      <c r="B394" s="9"/>
      <c r="C394" s="9"/>
    </row>
    <row r="395" spans="1:3" ht="15.75" customHeight="1">
      <c r="A395" s="9"/>
      <c r="B395" s="9"/>
      <c r="C395" s="9"/>
    </row>
    <row r="396" spans="1:3" ht="15.75" customHeight="1">
      <c r="A396" s="9"/>
      <c r="B396" s="9"/>
      <c r="C396" s="9"/>
    </row>
    <row r="397" spans="1:3" ht="15.75" customHeight="1">
      <c r="A397" s="9"/>
      <c r="B397" s="9"/>
      <c r="C397" s="9"/>
    </row>
    <row r="398" spans="1:3" ht="15.75" customHeight="1">
      <c r="A398" s="9"/>
      <c r="B398" s="9"/>
      <c r="C398" s="9"/>
    </row>
    <row r="399" spans="1:3" ht="15.75" customHeight="1">
      <c r="A399" s="9"/>
      <c r="B399" s="9"/>
      <c r="C399" s="9"/>
    </row>
    <row r="400" spans="1:3" ht="15.75" customHeight="1">
      <c r="A400" s="9"/>
      <c r="B400" s="9"/>
      <c r="C400" s="9"/>
    </row>
    <row r="401" spans="1:3" ht="15.75" customHeight="1">
      <c r="A401" s="9"/>
      <c r="B401" s="9"/>
      <c r="C401" s="9"/>
    </row>
    <row r="402" spans="1:3" ht="15.75" customHeight="1">
      <c r="A402" s="9"/>
      <c r="B402" s="9"/>
      <c r="C402" s="9"/>
    </row>
    <row r="403" spans="1:3" ht="15.75" customHeight="1">
      <c r="A403" s="9"/>
      <c r="B403" s="9"/>
      <c r="C403" s="9"/>
    </row>
    <row r="404" spans="1:3" ht="15.75" customHeight="1">
      <c r="A404" s="9"/>
      <c r="B404" s="9"/>
      <c r="C404" s="9"/>
    </row>
    <row r="405" spans="1:3" ht="15.75" customHeight="1">
      <c r="A405" s="9"/>
      <c r="B405" s="9"/>
      <c r="C405" s="9"/>
    </row>
    <row r="406" spans="1:3" ht="15.75" customHeight="1">
      <c r="A406" s="9"/>
      <c r="B406" s="9"/>
      <c r="C406" s="9"/>
    </row>
    <row r="407" spans="1:3" ht="15.75" customHeight="1">
      <c r="A407" s="9"/>
      <c r="B407" s="9"/>
      <c r="C407" s="9"/>
    </row>
    <row r="408" spans="1:3" ht="15.75" customHeight="1">
      <c r="A408" s="9"/>
      <c r="B408" s="9"/>
      <c r="C408" s="9"/>
    </row>
    <row r="409" spans="1:3" ht="15.75" customHeight="1">
      <c r="A409" s="9"/>
      <c r="B409" s="9"/>
      <c r="C409" s="9"/>
    </row>
    <row r="410" spans="1:3" ht="15.75" customHeight="1">
      <c r="A410" s="9"/>
      <c r="B410" s="9"/>
      <c r="C410" s="9"/>
    </row>
    <row r="411" spans="1:3" ht="15.75" customHeight="1">
      <c r="A411" s="9"/>
      <c r="B411" s="9"/>
      <c r="C411" s="9"/>
    </row>
    <row r="412" spans="1:3" ht="15.75" customHeight="1">
      <c r="A412" s="9"/>
      <c r="B412" s="9"/>
      <c r="C412" s="9"/>
    </row>
    <row r="413" spans="1:3" ht="15.75" customHeight="1">
      <c r="A413" s="9"/>
      <c r="B413" s="9"/>
      <c r="C413" s="9"/>
    </row>
    <row r="414" spans="1:3" ht="15.75" customHeight="1">
      <c r="A414" s="9"/>
      <c r="B414" s="9"/>
      <c r="C414" s="9"/>
    </row>
    <row r="415" spans="1:3" ht="15.75" customHeight="1">
      <c r="A415" s="9"/>
      <c r="B415" s="9"/>
      <c r="C415" s="9"/>
    </row>
    <row r="416" spans="1:3" ht="15.75" customHeight="1">
      <c r="A416" s="9"/>
      <c r="B416" s="9"/>
      <c r="C416" s="9"/>
    </row>
    <row r="417" spans="1:3" ht="15.75" customHeight="1">
      <c r="A417" s="9"/>
      <c r="B417" s="9"/>
      <c r="C417" s="9"/>
    </row>
    <row r="418" spans="1:3" ht="15.75" customHeight="1">
      <c r="A418" s="9"/>
      <c r="B418" s="9"/>
      <c r="C418" s="9"/>
    </row>
    <row r="419" spans="1:3" ht="15.75" customHeight="1">
      <c r="A419" s="9"/>
      <c r="B419" s="9"/>
      <c r="C419" s="9"/>
    </row>
    <row r="420" spans="1:3" ht="15.75" customHeight="1">
      <c r="A420" s="9"/>
      <c r="B420" s="9"/>
      <c r="C420" s="9"/>
    </row>
    <row r="421" spans="1:3" ht="15.75" customHeight="1">
      <c r="A421" s="9"/>
      <c r="B421" s="9"/>
      <c r="C421" s="9"/>
    </row>
    <row r="422" spans="1:3" ht="15.75" customHeight="1">
      <c r="A422" s="9"/>
      <c r="B422" s="9"/>
      <c r="C422" s="9"/>
    </row>
    <row r="423" spans="1:3" ht="15.75" customHeight="1">
      <c r="A423" s="9"/>
      <c r="B423" s="9"/>
      <c r="C423" s="9"/>
    </row>
    <row r="424" spans="1:3" ht="15.75" customHeight="1">
      <c r="A424" s="9"/>
      <c r="B424" s="9"/>
      <c r="C424" s="9"/>
    </row>
    <row r="425" spans="1:3" ht="15.75" customHeight="1">
      <c r="A425" s="9"/>
      <c r="B425" s="9"/>
      <c r="C425" s="9"/>
    </row>
    <row r="426" spans="1:3" ht="15.75" customHeight="1">
      <c r="A426" s="9"/>
      <c r="B426" s="9"/>
      <c r="C426" s="9"/>
    </row>
    <row r="427" spans="1:3" ht="15.75" customHeight="1">
      <c r="A427" s="9"/>
      <c r="B427" s="9"/>
      <c r="C427" s="9"/>
    </row>
    <row r="428" spans="1:3" ht="15.75" customHeight="1">
      <c r="A428" s="9"/>
      <c r="B428" s="9"/>
      <c r="C428" s="9"/>
    </row>
    <row r="429" spans="1:3" ht="15.75" customHeight="1">
      <c r="A429" s="9"/>
      <c r="B429" s="9"/>
      <c r="C429" s="9"/>
    </row>
    <row r="430" spans="1:3" ht="15.75" customHeight="1">
      <c r="A430" s="9"/>
      <c r="B430" s="9"/>
      <c r="C430" s="9"/>
    </row>
    <row r="431" spans="1:3" ht="15.75" customHeight="1">
      <c r="A431" s="9"/>
      <c r="B431" s="9"/>
      <c r="C431" s="9"/>
    </row>
    <row r="432" spans="1:3" ht="15.75" customHeight="1">
      <c r="A432" s="9"/>
      <c r="B432" s="9"/>
      <c r="C432" s="9"/>
    </row>
    <row r="433" spans="1:3" ht="15.75" customHeight="1">
      <c r="A433" s="9"/>
      <c r="B433" s="9"/>
      <c r="C433" s="9"/>
    </row>
    <row r="434" spans="1:3" ht="15.75" customHeight="1">
      <c r="A434" s="9"/>
      <c r="B434" s="9"/>
      <c r="C434" s="9"/>
    </row>
    <row r="435" spans="1:3" ht="15.75" customHeight="1">
      <c r="A435" s="9"/>
      <c r="B435" s="9"/>
      <c r="C435" s="9"/>
    </row>
    <row r="436" spans="1:3" ht="15.75" customHeight="1">
      <c r="A436" s="9"/>
      <c r="B436" s="9"/>
      <c r="C436" s="9"/>
    </row>
    <row r="437" spans="1:3" ht="15.75" customHeight="1">
      <c r="A437" s="9"/>
      <c r="B437" s="9"/>
      <c r="C437" s="9"/>
    </row>
    <row r="438" spans="1:3" ht="15.75" customHeight="1">
      <c r="A438" s="9"/>
      <c r="B438" s="9"/>
      <c r="C438" s="9"/>
    </row>
    <row r="439" spans="1:3" ht="15.75" customHeight="1">
      <c r="A439" s="9"/>
      <c r="B439" s="9"/>
      <c r="C439" s="9"/>
    </row>
    <row r="440" spans="1:3" ht="15.75" customHeight="1">
      <c r="A440" s="9"/>
      <c r="B440" s="9"/>
      <c r="C440" s="9"/>
    </row>
    <row r="441" spans="1:3" ht="15.75" customHeight="1">
      <c r="A441" s="9"/>
      <c r="B441" s="9"/>
      <c r="C441" s="9"/>
    </row>
    <row r="442" spans="1:3" ht="15.75" customHeight="1">
      <c r="A442" s="9"/>
      <c r="B442" s="9"/>
      <c r="C442" s="9"/>
    </row>
    <row r="443" spans="1:3" ht="15.75" customHeight="1">
      <c r="A443" s="9"/>
      <c r="B443" s="9"/>
      <c r="C443" s="9"/>
    </row>
    <row r="444" spans="1:3" ht="15.75" customHeight="1">
      <c r="A444" s="9"/>
      <c r="B444" s="9"/>
      <c r="C444" s="9"/>
    </row>
    <row r="445" spans="1:3" ht="15.75" customHeight="1">
      <c r="A445" s="9"/>
      <c r="B445" s="9"/>
      <c r="C445" s="9"/>
    </row>
    <row r="446" spans="1:3" ht="15.75" customHeight="1">
      <c r="A446" s="9"/>
      <c r="B446" s="9"/>
      <c r="C446" s="9"/>
    </row>
    <row r="447" spans="1:3" ht="15.75" customHeight="1">
      <c r="A447" s="9"/>
      <c r="B447" s="9"/>
      <c r="C447" s="9"/>
    </row>
    <row r="448" spans="1:3" ht="15.75" customHeight="1">
      <c r="A448" s="9"/>
      <c r="B448" s="9"/>
      <c r="C448" s="9"/>
    </row>
    <row r="449" spans="1:3" ht="15.75" customHeight="1">
      <c r="A449" s="9"/>
      <c r="B449" s="9"/>
      <c r="C449" s="9"/>
    </row>
    <row r="450" spans="1:3" ht="15.75" customHeight="1">
      <c r="A450" s="9"/>
      <c r="B450" s="9"/>
      <c r="C450" s="9"/>
    </row>
    <row r="451" spans="1:3" ht="15.75" customHeight="1">
      <c r="A451" s="9"/>
      <c r="B451" s="9"/>
      <c r="C451" s="9"/>
    </row>
    <row r="452" spans="1:3" ht="15.75" customHeight="1">
      <c r="A452" s="9"/>
      <c r="B452" s="9"/>
      <c r="C452" s="9"/>
    </row>
    <row r="453" spans="1:3" ht="15.75" customHeight="1">
      <c r="A453" s="9"/>
      <c r="B453" s="9"/>
      <c r="C453" s="9"/>
    </row>
    <row r="454" spans="1:3" ht="15.75" customHeight="1">
      <c r="A454" s="9"/>
      <c r="B454" s="9"/>
      <c r="C454" s="9"/>
    </row>
    <row r="455" spans="1:3" ht="15.75" customHeight="1">
      <c r="A455" s="9"/>
      <c r="B455" s="9"/>
      <c r="C455" s="9"/>
    </row>
    <row r="456" spans="1:3" ht="15.75" customHeight="1">
      <c r="A456" s="9"/>
      <c r="B456" s="9"/>
      <c r="C456" s="9"/>
    </row>
    <row r="457" spans="1:3" ht="15.75" customHeight="1">
      <c r="A457" s="9"/>
      <c r="B457" s="9"/>
      <c r="C457" s="9"/>
    </row>
    <row r="458" spans="1:3" ht="15.75" customHeight="1">
      <c r="A458" s="9"/>
      <c r="B458" s="9"/>
      <c r="C458" s="9"/>
    </row>
    <row r="459" spans="1:3" ht="15.75" customHeight="1">
      <c r="A459" s="9"/>
      <c r="B459" s="9"/>
      <c r="C459" s="9"/>
    </row>
    <row r="460" spans="1:3" ht="15.75" customHeight="1">
      <c r="A460" s="9"/>
      <c r="B460" s="9"/>
      <c r="C460" s="9"/>
    </row>
    <row r="461" spans="1:3" ht="15.75" customHeight="1">
      <c r="A461" s="9"/>
      <c r="B461" s="9"/>
      <c r="C461" s="9"/>
    </row>
    <row r="462" spans="1:3" ht="15.75" customHeight="1">
      <c r="A462" s="9"/>
      <c r="B462" s="9"/>
      <c r="C462" s="9"/>
    </row>
    <row r="463" spans="1:3" ht="15.75" customHeight="1">
      <c r="A463" s="9"/>
      <c r="B463" s="9"/>
      <c r="C463" s="9"/>
    </row>
    <row r="464" spans="1:3" ht="15.75" customHeight="1">
      <c r="A464" s="9"/>
      <c r="B464" s="9"/>
      <c r="C464" s="9"/>
    </row>
    <row r="465" spans="1:3" ht="15.75" customHeight="1">
      <c r="A465" s="9"/>
      <c r="B465" s="9"/>
      <c r="C465" s="9"/>
    </row>
    <row r="466" spans="1:3" ht="15.75" customHeight="1">
      <c r="A466" s="9"/>
      <c r="B466" s="9"/>
      <c r="C466" s="9"/>
    </row>
    <row r="467" spans="1:3" ht="15.75" customHeight="1">
      <c r="A467" s="9"/>
      <c r="B467" s="9"/>
      <c r="C467" s="9"/>
    </row>
    <row r="468" spans="1:3" ht="15.75" customHeight="1"/>
    <row r="469" spans="1:3" ht="15.75" customHeight="1"/>
    <row r="470" spans="1:3" ht="15.75" customHeight="1"/>
    <row r="471" spans="1:3" ht="15.75" customHeight="1"/>
    <row r="472" spans="1:3" ht="15.75" customHeight="1"/>
    <row r="473" spans="1:3" ht="15.75" customHeight="1"/>
    <row r="474" spans="1:3" ht="15.75" customHeight="1"/>
    <row r="475" spans="1:3" ht="15.75" customHeight="1"/>
    <row r="476" spans="1:3" ht="15.75" customHeight="1"/>
    <row r="477" spans="1:3" ht="15.75" customHeight="1"/>
    <row r="478" spans="1:3" ht="15.75" customHeight="1"/>
    <row r="479" spans="1:3" ht="15.75" customHeight="1"/>
    <row r="480" spans="1:3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0"/>
  <sheetViews>
    <sheetView workbookViewId="0"/>
  </sheetViews>
  <sheetFormatPr defaultColWidth="12.5703125" defaultRowHeight="15" customHeight="1"/>
  <cols>
    <col min="1" max="1" width="68.5703125" customWidth="1"/>
    <col min="2" max="2" width="20.140625" customWidth="1"/>
    <col min="3" max="3" width="30.28515625" customWidth="1"/>
    <col min="4" max="6" width="12.5703125" customWidth="1"/>
  </cols>
  <sheetData>
    <row r="1" spans="1:25" ht="15" customHeight="1">
      <c r="A1" s="7" t="s">
        <v>0</v>
      </c>
      <c r="B1" s="7" t="s">
        <v>132</v>
      </c>
      <c r="C1" s="7" t="s">
        <v>6</v>
      </c>
      <c r="D1" s="12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5" customHeight="1">
      <c r="A2" s="13" t="s">
        <v>138</v>
      </c>
      <c r="B2" s="13" t="s">
        <v>139</v>
      </c>
      <c r="C2" s="14">
        <v>56.26551886</v>
      </c>
      <c r="D2" s="5"/>
    </row>
    <row r="3" spans="1:25" ht="15" customHeight="1">
      <c r="A3" s="13" t="s">
        <v>68</v>
      </c>
      <c r="B3" s="13" t="s">
        <v>143</v>
      </c>
      <c r="C3" s="14">
        <v>98.395039199999999</v>
      </c>
      <c r="D3" s="5"/>
    </row>
    <row r="4" spans="1:25" ht="15" customHeight="1">
      <c r="A4" s="13" t="s">
        <v>85</v>
      </c>
      <c r="B4" s="13" t="s">
        <v>220</v>
      </c>
      <c r="C4" s="14">
        <v>107.7871159</v>
      </c>
      <c r="D4" s="5"/>
    </row>
    <row r="5" spans="1:25" ht="15" customHeight="1">
      <c r="A5" s="13" t="s">
        <v>152</v>
      </c>
      <c r="B5" s="13" t="s">
        <v>153</v>
      </c>
      <c r="C5" s="13" t="s">
        <v>542</v>
      </c>
      <c r="D5" s="5"/>
    </row>
    <row r="6" spans="1:25" ht="15" customHeight="1">
      <c r="A6" s="13" t="s">
        <v>144</v>
      </c>
      <c r="B6" s="13" t="s">
        <v>145</v>
      </c>
      <c r="C6" s="14">
        <v>142.42644749999999</v>
      </c>
      <c r="D6" s="5"/>
    </row>
    <row r="7" spans="1:25" ht="15" customHeight="1">
      <c r="A7" s="13" t="s">
        <v>95</v>
      </c>
      <c r="B7" s="13" t="s">
        <v>142</v>
      </c>
      <c r="C7" s="14">
        <v>66.600807309999993</v>
      </c>
      <c r="D7" s="5"/>
    </row>
    <row r="8" spans="1:25" ht="15" customHeight="1">
      <c r="A8" s="13" t="s">
        <v>154</v>
      </c>
      <c r="B8" s="13" t="s">
        <v>155</v>
      </c>
      <c r="C8" s="14">
        <v>200.54071519999999</v>
      </c>
      <c r="D8" s="5"/>
    </row>
    <row r="9" spans="1:25" ht="15" customHeight="1">
      <c r="A9" s="13" t="s">
        <v>52</v>
      </c>
      <c r="B9" s="13" t="s">
        <v>150</v>
      </c>
      <c r="C9" s="14">
        <v>131.4835563</v>
      </c>
      <c r="D9" s="5"/>
    </row>
    <row r="10" spans="1:25" ht="15" customHeight="1">
      <c r="A10" s="13" t="s">
        <v>76</v>
      </c>
      <c r="B10" s="13" t="s">
        <v>151</v>
      </c>
      <c r="C10" s="14">
        <v>130.5400722</v>
      </c>
      <c r="D10" s="5"/>
    </row>
    <row r="11" spans="1:25" ht="15" customHeight="1">
      <c r="A11" s="13" t="s">
        <v>134</v>
      </c>
      <c r="B11" s="13" t="s">
        <v>135</v>
      </c>
      <c r="C11" s="14">
        <v>130.6479746</v>
      </c>
      <c r="D11" s="5"/>
    </row>
    <row r="12" spans="1:25" ht="15" customHeight="1">
      <c r="A12" s="13" t="s">
        <v>13</v>
      </c>
      <c r="B12" s="13" t="s">
        <v>156</v>
      </c>
      <c r="C12" s="14">
        <v>109.4691711</v>
      </c>
      <c r="D12" s="5"/>
    </row>
    <row r="13" spans="1:25" ht="15" customHeight="1">
      <c r="A13" s="13" t="s">
        <v>18</v>
      </c>
      <c r="B13" s="13" t="s">
        <v>157</v>
      </c>
      <c r="C13" s="14">
        <v>121.1664574</v>
      </c>
      <c r="D13" s="5"/>
    </row>
    <row r="14" spans="1:25" ht="15" customHeight="1">
      <c r="A14" s="13" t="s">
        <v>67</v>
      </c>
      <c r="B14" s="13" t="s">
        <v>158</v>
      </c>
      <c r="C14" s="14">
        <v>107.5062961</v>
      </c>
      <c r="D14" s="5"/>
    </row>
    <row r="15" spans="1:25" ht="15" customHeight="1">
      <c r="A15" s="13" t="s">
        <v>167</v>
      </c>
      <c r="B15" s="13" t="s">
        <v>168</v>
      </c>
      <c r="C15" s="14">
        <v>101.6237441</v>
      </c>
      <c r="D15" s="5"/>
    </row>
    <row r="16" spans="1:25" ht="15" customHeight="1">
      <c r="A16" s="13" t="s">
        <v>32</v>
      </c>
      <c r="B16" s="13" t="s">
        <v>166</v>
      </c>
      <c r="C16" s="14">
        <v>139.63614290000001</v>
      </c>
      <c r="D16" s="5"/>
    </row>
    <row r="17" spans="1:4" ht="15" customHeight="1">
      <c r="A17" s="13" t="s">
        <v>102</v>
      </c>
      <c r="B17" s="13" t="s">
        <v>164</v>
      </c>
      <c r="C17" s="14">
        <v>109.8665408</v>
      </c>
      <c r="D17" s="5"/>
    </row>
    <row r="18" spans="1:4" ht="15" customHeight="1">
      <c r="A18" s="13" t="s">
        <v>177</v>
      </c>
      <c r="B18" s="13" t="s">
        <v>178</v>
      </c>
      <c r="C18" s="14">
        <v>114.580721</v>
      </c>
      <c r="D18" s="5"/>
    </row>
    <row r="19" spans="1:4" ht="15" customHeight="1">
      <c r="A19" s="13" t="s">
        <v>66</v>
      </c>
      <c r="B19" s="13" t="s">
        <v>170</v>
      </c>
      <c r="C19" s="14">
        <v>128.3149994</v>
      </c>
      <c r="D19" s="5"/>
    </row>
    <row r="20" spans="1:4" ht="15" customHeight="1">
      <c r="A20" s="13" t="s">
        <v>19</v>
      </c>
      <c r="B20" s="13" t="s">
        <v>161</v>
      </c>
      <c r="C20" s="14">
        <v>101.6803558</v>
      </c>
      <c r="D20" s="5"/>
    </row>
    <row r="21" spans="1:4" ht="15" customHeight="1">
      <c r="A21" s="13" t="s">
        <v>171</v>
      </c>
      <c r="B21" s="13" t="s">
        <v>172</v>
      </c>
      <c r="C21" s="14">
        <v>67.175026630000005</v>
      </c>
      <c r="D21" s="5"/>
    </row>
    <row r="22" spans="1:4" ht="15" customHeight="1">
      <c r="A22" s="13" t="s">
        <v>119</v>
      </c>
      <c r="B22" s="13" t="s">
        <v>162</v>
      </c>
      <c r="C22" s="14">
        <v>105.7450194</v>
      </c>
      <c r="D22" s="5"/>
    </row>
    <row r="23" spans="1:4" ht="20.25" customHeight="1">
      <c r="A23" s="13" t="s">
        <v>173</v>
      </c>
      <c r="B23" s="13" t="s">
        <v>174</v>
      </c>
      <c r="C23" s="14">
        <v>105.27421270000001</v>
      </c>
      <c r="D23" s="5"/>
    </row>
    <row r="24" spans="1:4" ht="20.25" customHeight="1">
      <c r="A24" s="13" t="s">
        <v>180</v>
      </c>
      <c r="B24" s="13" t="s">
        <v>181</v>
      </c>
      <c r="C24" s="14">
        <v>95.129809429999995</v>
      </c>
      <c r="D24" s="5"/>
    </row>
    <row r="25" spans="1:4" ht="20.25" customHeight="1">
      <c r="A25" s="13" t="s">
        <v>90</v>
      </c>
      <c r="B25" s="13" t="s">
        <v>175</v>
      </c>
      <c r="C25" s="14">
        <v>101.5715043</v>
      </c>
      <c r="D25" s="5"/>
    </row>
    <row r="26" spans="1:4" ht="20.25" customHeight="1">
      <c r="A26" s="13" t="s">
        <v>69</v>
      </c>
      <c r="B26" s="13" t="s">
        <v>169</v>
      </c>
      <c r="C26" s="14">
        <v>118.9443529</v>
      </c>
      <c r="D26" s="5"/>
    </row>
    <row r="27" spans="1:4" ht="20.25" customHeight="1">
      <c r="A27" s="13" t="s">
        <v>65</v>
      </c>
      <c r="B27" s="13" t="s">
        <v>182</v>
      </c>
      <c r="C27" s="14">
        <v>178.2050189</v>
      </c>
      <c r="D27" s="5"/>
    </row>
    <row r="28" spans="1:4" ht="20.25" customHeight="1">
      <c r="A28" s="13" t="s">
        <v>63</v>
      </c>
      <c r="B28" s="13" t="s">
        <v>176</v>
      </c>
      <c r="C28" s="14">
        <v>101.24546890000001</v>
      </c>
      <c r="D28" s="5"/>
    </row>
    <row r="29" spans="1:4" ht="20.25" customHeight="1">
      <c r="A29" s="13" t="s">
        <v>522</v>
      </c>
      <c r="B29" s="13" t="s">
        <v>523</v>
      </c>
      <c r="C29" s="14">
        <v>92.891254989999993</v>
      </c>
      <c r="D29" s="5"/>
    </row>
    <row r="30" spans="1:4" ht="20.25" customHeight="1">
      <c r="A30" s="13" t="s">
        <v>26</v>
      </c>
      <c r="B30" s="13" t="s">
        <v>179</v>
      </c>
      <c r="C30" s="14">
        <v>116.1084393</v>
      </c>
      <c r="D30" s="5"/>
    </row>
    <row r="31" spans="1:4" ht="20.25" customHeight="1">
      <c r="A31" s="13" t="s">
        <v>51</v>
      </c>
      <c r="B31" s="13" t="s">
        <v>165</v>
      </c>
      <c r="C31" s="14">
        <v>116.6791633</v>
      </c>
      <c r="D31" s="5"/>
    </row>
    <row r="32" spans="1:4" ht="20.25" customHeight="1">
      <c r="A32" s="13" t="s">
        <v>128</v>
      </c>
      <c r="B32" s="13" t="s">
        <v>163</v>
      </c>
      <c r="C32" s="14">
        <v>113.99614680000001</v>
      </c>
      <c r="D32" s="5"/>
    </row>
    <row r="33" spans="1:4" ht="20.25" customHeight="1">
      <c r="A33" s="13" t="s">
        <v>159</v>
      </c>
      <c r="B33" s="13" t="s">
        <v>160</v>
      </c>
      <c r="C33" s="14">
        <v>56.259991200000002</v>
      </c>
      <c r="D33" s="5"/>
    </row>
    <row r="34" spans="1:4" ht="20.25" customHeight="1">
      <c r="A34" s="13" t="s">
        <v>200</v>
      </c>
      <c r="B34" s="13" t="s">
        <v>201</v>
      </c>
      <c r="C34" s="14">
        <v>113.2473674</v>
      </c>
      <c r="D34" s="5"/>
    </row>
    <row r="35" spans="1:4" ht="20.25" customHeight="1">
      <c r="A35" s="13" t="s">
        <v>108</v>
      </c>
      <c r="B35" s="13" t="s">
        <v>316</v>
      </c>
      <c r="C35" s="14">
        <v>113.3915066</v>
      </c>
      <c r="D35" s="5"/>
    </row>
    <row r="36" spans="1:4" ht="20.25" customHeight="1">
      <c r="A36" s="13" t="s">
        <v>114</v>
      </c>
      <c r="B36" s="13" t="s">
        <v>194</v>
      </c>
      <c r="C36" s="14">
        <v>89.827419050000003</v>
      </c>
      <c r="D36" s="5"/>
    </row>
    <row r="37" spans="1:4" ht="20.25" customHeight="1">
      <c r="A37" s="13" t="s">
        <v>15</v>
      </c>
      <c r="B37" s="13" t="s">
        <v>185</v>
      </c>
      <c r="C37" s="14">
        <v>91.238669000000002</v>
      </c>
      <c r="D37" s="5"/>
    </row>
    <row r="38" spans="1:4" ht="20.25" customHeight="1">
      <c r="A38" s="13" t="s">
        <v>209</v>
      </c>
      <c r="B38" s="13" t="s">
        <v>210</v>
      </c>
      <c r="C38" s="14">
        <v>139.31499769999999</v>
      </c>
      <c r="D38" s="5"/>
    </row>
    <row r="39" spans="1:4" ht="20.25" customHeight="1">
      <c r="A39" s="13" t="s">
        <v>183</v>
      </c>
      <c r="B39" s="13" t="s">
        <v>184</v>
      </c>
      <c r="C39" s="14">
        <v>38.821790100000001</v>
      </c>
      <c r="D39" s="5"/>
    </row>
    <row r="40" spans="1:4" ht="20.25" customHeight="1">
      <c r="A40" s="13" t="s">
        <v>125</v>
      </c>
      <c r="B40" s="13" t="s">
        <v>483</v>
      </c>
      <c r="C40" s="14">
        <v>65.437779550000002</v>
      </c>
      <c r="D40" s="5"/>
    </row>
    <row r="41" spans="1:4" ht="20.25" customHeight="1">
      <c r="A41" s="13" t="s">
        <v>189</v>
      </c>
      <c r="B41" s="13" t="s">
        <v>190</v>
      </c>
      <c r="C41" s="13" t="s">
        <v>542</v>
      </c>
      <c r="D41" s="5"/>
    </row>
    <row r="42" spans="1:4" ht="20.25" customHeight="1">
      <c r="A42" s="13" t="s">
        <v>50</v>
      </c>
      <c r="B42" s="13" t="s">
        <v>191</v>
      </c>
      <c r="C42" s="14">
        <v>135.11428100000001</v>
      </c>
      <c r="D42" s="5"/>
    </row>
    <row r="43" spans="1:4" ht="20.25" customHeight="1">
      <c r="A43" s="13" t="s">
        <v>54</v>
      </c>
      <c r="B43" s="13" t="s">
        <v>192</v>
      </c>
      <c r="C43" s="14">
        <v>124.195249</v>
      </c>
      <c r="D43" s="5"/>
    </row>
    <row r="44" spans="1:4" ht="20.25" customHeight="1">
      <c r="A44" s="13" t="s">
        <v>75</v>
      </c>
      <c r="B44" s="13" t="s">
        <v>197</v>
      </c>
      <c r="C44" s="14">
        <v>156.19516110000001</v>
      </c>
      <c r="D44" s="5"/>
    </row>
    <row r="45" spans="1:4" ht="20.25" customHeight="1">
      <c r="A45" s="13" t="s">
        <v>198</v>
      </c>
      <c r="B45" s="13" t="s">
        <v>199</v>
      </c>
      <c r="C45" s="14">
        <v>100.5490369</v>
      </c>
      <c r="D45" s="5"/>
    </row>
    <row r="46" spans="1:4" ht="20.25" customHeight="1">
      <c r="A46" s="13" t="s">
        <v>129</v>
      </c>
      <c r="B46" s="13" t="s">
        <v>195</v>
      </c>
      <c r="C46" s="14">
        <v>48.677353420000003</v>
      </c>
      <c r="D46" s="5"/>
    </row>
    <row r="47" spans="1:4" ht="20.25" customHeight="1">
      <c r="A47" s="13" t="s">
        <v>103</v>
      </c>
      <c r="B47" s="13" t="s">
        <v>196</v>
      </c>
      <c r="C47" s="14">
        <v>93.62592592</v>
      </c>
      <c r="D47" s="5"/>
    </row>
    <row r="48" spans="1:4" ht="20.25" customHeight="1">
      <c r="A48" s="13" t="s">
        <v>53</v>
      </c>
      <c r="B48" s="13" t="s">
        <v>202</v>
      </c>
      <c r="C48" s="14">
        <v>136.51837499999999</v>
      </c>
      <c r="D48" s="5"/>
    </row>
    <row r="49" spans="1:4" ht="20.25" customHeight="1">
      <c r="A49" s="13" t="s">
        <v>107</v>
      </c>
      <c r="B49" s="13" t="s">
        <v>193</v>
      </c>
      <c r="C49" s="14">
        <v>161.2318334</v>
      </c>
      <c r="D49" s="5"/>
    </row>
    <row r="50" spans="1:4" ht="20.25" customHeight="1">
      <c r="A50" s="13" t="s">
        <v>45</v>
      </c>
      <c r="B50" s="13" t="s">
        <v>283</v>
      </c>
      <c r="C50" s="14">
        <v>114.6771957</v>
      </c>
      <c r="D50" s="5"/>
    </row>
    <row r="51" spans="1:4" ht="20.25" customHeight="1">
      <c r="A51" s="13" t="s">
        <v>205</v>
      </c>
      <c r="B51" s="13" t="s">
        <v>206</v>
      </c>
      <c r="C51" s="14">
        <v>68.718044239999998</v>
      </c>
      <c r="D51" s="5"/>
    </row>
    <row r="52" spans="1:4" ht="20.25" customHeight="1">
      <c r="A52" s="13" t="s">
        <v>207</v>
      </c>
      <c r="B52" s="13" t="s">
        <v>208</v>
      </c>
      <c r="C52" s="14">
        <v>92.732471880000006</v>
      </c>
      <c r="D52" s="5"/>
    </row>
    <row r="53" spans="1:4" ht="20.25" customHeight="1">
      <c r="A53" s="13" t="s">
        <v>31</v>
      </c>
      <c r="B53" s="13" t="s">
        <v>211</v>
      </c>
      <c r="C53" s="14">
        <v>146.71583609999999</v>
      </c>
      <c r="D53" s="5"/>
    </row>
    <row r="54" spans="1:4" ht="20.25" customHeight="1">
      <c r="A54" s="13" t="s">
        <v>36</v>
      </c>
      <c r="B54" s="13" t="s">
        <v>212</v>
      </c>
      <c r="C54" s="14">
        <v>128.10529500000001</v>
      </c>
      <c r="D54" s="5"/>
    </row>
    <row r="55" spans="1:4" ht="20.25" customHeight="1">
      <c r="A55" s="13" t="s">
        <v>12</v>
      </c>
      <c r="B55" s="13" t="s">
        <v>218</v>
      </c>
      <c r="C55" s="14">
        <v>126.483541</v>
      </c>
      <c r="D55" s="5"/>
    </row>
    <row r="56" spans="1:4" ht="20.25" customHeight="1">
      <c r="A56" s="13" t="s">
        <v>214</v>
      </c>
      <c r="B56" s="13" t="s">
        <v>215</v>
      </c>
      <c r="C56" s="14">
        <v>46.777053119999998</v>
      </c>
      <c r="D56" s="5"/>
    </row>
    <row r="57" spans="1:4" ht="20.25" customHeight="1">
      <c r="A57" s="13" t="s">
        <v>216</v>
      </c>
      <c r="B57" s="13" t="s">
        <v>217</v>
      </c>
      <c r="C57" s="14">
        <v>85.189896149999996</v>
      </c>
      <c r="D57" s="5"/>
    </row>
    <row r="58" spans="1:4" ht="20.25" customHeight="1">
      <c r="A58" s="13" t="s">
        <v>60</v>
      </c>
      <c r="B58" s="13" t="s">
        <v>219</v>
      </c>
      <c r="C58" s="14">
        <v>90.376016390000004</v>
      </c>
      <c r="D58" s="5"/>
    </row>
    <row r="59" spans="1:4" ht="20.25" customHeight="1">
      <c r="A59" s="13" t="s">
        <v>78</v>
      </c>
      <c r="B59" s="13" t="s">
        <v>231</v>
      </c>
      <c r="C59" s="14">
        <v>98.130902570000003</v>
      </c>
      <c r="D59" s="5"/>
    </row>
    <row r="60" spans="1:4" ht="20.25" customHeight="1">
      <c r="A60" s="13" t="s">
        <v>232</v>
      </c>
      <c r="B60" s="13" t="s">
        <v>233</v>
      </c>
      <c r="C60" s="14">
        <v>90.679471579999998</v>
      </c>
      <c r="D60" s="5"/>
    </row>
    <row r="61" spans="1:4" ht="20.25" customHeight="1">
      <c r="A61" s="13" t="s">
        <v>83</v>
      </c>
      <c r="B61" s="13" t="s">
        <v>453</v>
      </c>
      <c r="C61" s="14">
        <v>183.24895599999999</v>
      </c>
      <c r="D61" s="5"/>
    </row>
    <row r="62" spans="1:4" ht="20.25" customHeight="1">
      <c r="A62" s="13" t="s">
        <v>71</v>
      </c>
      <c r="B62" s="13" t="s">
        <v>265</v>
      </c>
      <c r="C62" s="14">
        <v>49.538048680000003</v>
      </c>
      <c r="D62" s="5"/>
    </row>
    <row r="63" spans="1:4" ht="20.25" customHeight="1">
      <c r="A63" s="13" t="s">
        <v>236</v>
      </c>
      <c r="B63" s="13" t="s">
        <v>237</v>
      </c>
      <c r="C63" s="14">
        <v>59.124808219999998</v>
      </c>
      <c r="D63" s="5"/>
    </row>
    <row r="64" spans="1:4" ht="20.25" customHeight="1">
      <c r="A64" s="13" t="s">
        <v>35</v>
      </c>
      <c r="B64" s="13" t="s">
        <v>239</v>
      </c>
      <c r="C64" s="14">
        <v>152.2707729</v>
      </c>
      <c r="D64" s="5"/>
    </row>
    <row r="65" spans="1:4" ht="20.25" customHeight="1">
      <c r="A65" s="13" t="s">
        <v>93</v>
      </c>
      <c r="B65" s="13" t="s">
        <v>474</v>
      </c>
      <c r="C65" s="14">
        <v>121.49170119999999</v>
      </c>
      <c r="D65" s="5"/>
    </row>
    <row r="66" spans="1:4" ht="20.25" customHeight="1">
      <c r="A66" s="13" t="s">
        <v>123</v>
      </c>
      <c r="B66" s="13" t="s">
        <v>240</v>
      </c>
      <c r="C66" s="14">
        <v>56.964298880000001</v>
      </c>
      <c r="D66" s="5"/>
    </row>
    <row r="67" spans="1:4" ht="20.25" customHeight="1">
      <c r="A67" s="13" t="s">
        <v>249</v>
      </c>
      <c r="B67" s="13" t="s">
        <v>250</v>
      </c>
      <c r="C67" s="14">
        <v>105.8043732</v>
      </c>
      <c r="D67" s="5"/>
    </row>
    <row r="68" spans="1:4" ht="20.25" customHeight="1">
      <c r="A68" s="13" t="s">
        <v>246</v>
      </c>
      <c r="B68" s="13" t="s">
        <v>247</v>
      </c>
      <c r="C68" s="14">
        <v>111.7491206</v>
      </c>
      <c r="D68" s="5"/>
    </row>
    <row r="69" spans="1:4" ht="20.25" customHeight="1">
      <c r="A69" s="13" t="s">
        <v>21</v>
      </c>
      <c r="B69" s="13" t="s">
        <v>245</v>
      </c>
      <c r="C69" s="14">
        <v>128.0232934</v>
      </c>
      <c r="D69" s="5"/>
    </row>
    <row r="70" spans="1:4" ht="20.25" customHeight="1">
      <c r="A70" s="13" t="s">
        <v>24</v>
      </c>
      <c r="B70" s="13" t="s">
        <v>248</v>
      </c>
      <c r="C70" s="14">
        <v>115.9505194</v>
      </c>
      <c r="D70" s="5"/>
    </row>
    <row r="71" spans="1:4" ht="20.25" customHeight="1">
      <c r="A71" s="13" t="s">
        <v>435</v>
      </c>
      <c r="B71" s="13" t="s">
        <v>436</v>
      </c>
      <c r="C71" s="14">
        <v>116.86615930000001</v>
      </c>
      <c r="D71" s="5"/>
    </row>
    <row r="72" spans="1:4" ht="20.25" customHeight="1">
      <c r="A72" s="13" t="s">
        <v>64</v>
      </c>
      <c r="B72" s="13" t="s">
        <v>253</v>
      </c>
      <c r="C72" s="14">
        <v>123.2331872</v>
      </c>
      <c r="D72" s="5"/>
    </row>
    <row r="73" spans="1:4" ht="20.25" customHeight="1">
      <c r="A73" s="13" t="s">
        <v>261</v>
      </c>
      <c r="B73" s="13" t="s">
        <v>262</v>
      </c>
      <c r="C73" s="14">
        <v>106.7822505</v>
      </c>
      <c r="D73" s="5"/>
    </row>
    <row r="74" spans="1:4" ht="20.25" customHeight="1">
      <c r="A74" s="13" t="s">
        <v>74</v>
      </c>
      <c r="B74" s="13" t="s">
        <v>255</v>
      </c>
      <c r="C74" s="14">
        <v>154.01356179999999</v>
      </c>
      <c r="D74" s="5"/>
    </row>
    <row r="75" spans="1:4" ht="20.25" customHeight="1">
      <c r="A75" s="13" t="s">
        <v>20</v>
      </c>
      <c r="B75" s="13" t="s">
        <v>213</v>
      </c>
      <c r="C75" s="14">
        <v>124.1582643</v>
      </c>
      <c r="D75" s="5"/>
    </row>
    <row r="76" spans="1:4" ht="20.25" customHeight="1">
      <c r="A76" s="13" t="s">
        <v>110</v>
      </c>
      <c r="B76" s="13" t="s">
        <v>256</v>
      </c>
      <c r="C76" s="14">
        <v>120.803416</v>
      </c>
      <c r="D76" s="5"/>
    </row>
    <row r="77" spans="1:4" ht="20.25" customHeight="1">
      <c r="A77" s="13" t="s">
        <v>257</v>
      </c>
      <c r="B77" s="13" t="s">
        <v>258</v>
      </c>
      <c r="C77" s="14">
        <v>97.604296840000003</v>
      </c>
      <c r="D77" s="5"/>
    </row>
    <row r="78" spans="1:4" ht="20.25" customHeight="1">
      <c r="A78" s="13" t="s">
        <v>41</v>
      </c>
      <c r="B78" s="13" t="s">
        <v>266</v>
      </c>
      <c r="C78" s="14">
        <v>109.02695610000001</v>
      </c>
      <c r="D78" s="5"/>
    </row>
    <row r="79" spans="1:4" ht="20.25" customHeight="1">
      <c r="A79" s="13" t="s">
        <v>269</v>
      </c>
      <c r="B79" s="13" t="s">
        <v>270</v>
      </c>
      <c r="C79" s="14">
        <v>118.63725669999999</v>
      </c>
      <c r="D79" s="5"/>
    </row>
    <row r="80" spans="1:4" ht="20.25" customHeight="1">
      <c r="A80" s="13" t="s">
        <v>267</v>
      </c>
      <c r="B80" s="13" t="s">
        <v>268</v>
      </c>
      <c r="C80" s="14">
        <v>95.759239780000001</v>
      </c>
      <c r="D80" s="5"/>
    </row>
    <row r="81" spans="1:4" ht="20.25" customHeight="1">
      <c r="A81" s="13" t="s">
        <v>272</v>
      </c>
      <c r="B81" s="13" t="s">
        <v>273</v>
      </c>
      <c r="C81" s="13" t="s">
        <v>542</v>
      </c>
      <c r="D81" s="5"/>
    </row>
    <row r="82" spans="1:4" ht="20.25" customHeight="1">
      <c r="A82" s="13" t="s">
        <v>82</v>
      </c>
      <c r="B82" s="13" t="s">
        <v>271</v>
      </c>
      <c r="C82" s="14">
        <v>115.1564357</v>
      </c>
      <c r="D82" s="5"/>
    </row>
    <row r="83" spans="1:4" ht="20.25" customHeight="1">
      <c r="A83" s="13" t="s">
        <v>259</v>
      </c>
      <c r="B83" s="13" t="s">
        <v>260</v>
      </c>
      <c r="C83" s="14">
        <v>95.317462930000005</v>
      </c>
      <c r="D83" s="5"/>
    </row>
    <row r="84" spans="1:4" ht="20.25" customHeight="1">
      <c r="A84" s="13" t="s">
        <v>263</v>
      </c>
      <c r="B84" s="13" t="s">
        <v>264</v>
      </c>
      <c r="C84" s="14">
        <v>125.93467010000001</v>
      </c>
      <c r="D84" s="5"/>
    </row>
    <row r="85" spans="1:4" ht="20.25" customHeight="1">
      <c r="A85" s="13" t="s">
        <v>274</v>
      </c>
      <c r="B85" s="13" t="s">
        <v>275</v>
      </c>
      <c r="C85" s="14">
        <v>112.5650378</v>
      </c>
      <c r="D85" s="5"/>
    </row>
    <row r="86" spans="1:4" ht="20.25" customHeight="1">
      <c r="A86" s="13" t="s">
        <v>112</v>
      </c>
      <c r="B86" s="13" t="s">
        <v>284</v>
      </c>
      <c r="C86" s="14">
        <v>65.188932929999993</v>
      </c>
      <c r="D86" s="5"/>
    </row>
    <row r="87" spans="1:4" ht="20.25" customHeight="1">
      <c r="A87" s="13" t="s">
        <v>101</v>
      </c>
      <c r="B87" s="13" t="s">
        <v>280</v>
      </c>
      <c r="C87" s="14">
        <v>75.85514234</v>
      </c>
      <c r="D87" s="5"/>
    </row>
    <row r="88" spans="1:4" ht="20.25" customHeight="1">
      <c r="A88" s="13" t="s">
        <v>278</v>
      </c>
      <c r="B88" s="13" t="s">
        <v>279</v>
      </c>
      <c r="C88" s="14">
        <v>292.80765989999998</v>
      </c>
      <c r="D88" s="5"/>
    </row>
    <row r="89" spans="1:4" ht="20.25" customHeight="1">
      <c r="A89" s="13" t="s">
        <v>46</v>
      </c>
      <c r="B89" s="13" t="s">
        <v>285</v>
      </c>
      <c r="C89" s="14">
        <v>105.79384829999999</v>
      </c>
      <c r="D89" s="5"/>
    </row>
    <row r="90" spans="1:4" ht="20.25" customHeight="1">
      <c r="A90" s="13" t="s">
        <v>305</v>
      </c>
      <c r="B90" s="13" t="s">
        <v>306</v>
      </c>
      <c r="C90" s="14">
        <v>120.1148398</v>
      </c>
      <c r="D90" s="5"/>
    </row>
    <row r="91" spans="1:4" ht="20.25" customHeight="1">
      <c r="A91" s="13" t="s">
        <v>106</v>
      </c>
      <c r="B91" s="13" t="s">
        <v>299</v>
      </c>
      <c r="C91" s="14">
        <v>80.181800769999995</v>
      </c>
      <c r="D91" s="5"/>
    </row>
    <row r="92" spans="1:4" ht="20.25" customHeight="1">
      <c r="A92" s="13" t="s">
        <v>86</v>
      </c>
      <c r="B92" s="13" t="s">
        <v>294</v>
      </c>
      <c r="C92" s="14">
        <v>122.87301220000001</v>
      </c>
      <c r="D92" s="5"/>
    </row>
    <row r="93" spans="1:4" ht="20.25" customHeight="1">
      <c r="A93" s="13" t="s">
        <v>87</v>
      </c>
      <c r="B93" s="13" t="s">
        <v>303</v>
      </c>
      <c r="C93" s="14">
        <v>162.71294370000001</v>
      </c>
      <c r="D93" s="5"/>
    </row>
    <row r="94" spans="1:4" ht="20.25" customHeight="1">
      <c r="A94" s="13" t="s">
        <v>77</v>
      </c>
      <c r="B94" s="13" t="s">
        <v>304</v>
      </c>
      <c r="C94" s="14">
        <v>99.132366189999999</v>
      </c>
      <c r="D94" s="5"/>
    </row>
    <row r="95" spans="1:4" ht="20.25" customHeight="1">
      <c r="A95" s="13" t="s">
        <v>8</v>
      </c>
      <c r="B95" s="13" t="s">
        <v>302</v>
      </c>
      <c r="C95" s="14">
        <v>110.6088513</v>
      </c>
      <c r="D95" s="5"/>
    </row>
    <row r="96" spans="1:4" ht="20.25" customHeight="1">
      <c r="A96" s="13" t="s">
        <v>297</v>
      </c>
      <c r="B96" s="13" t="s">
        <v>298</v>
      </c>
      <c r="C96" s="13" t="s">
        <v>542</v>
      </c>
      <c r="D96" s="5"/>
    </row>
    <row r="97" spans="1:4" ht="20.25" customHeight="1">
      <c r="A97" s="13" t="s">
        <v>16</v>
      </c>
      <c r="B97" s="13" t="s">
        <v>307</v>
      </c>
      <c r="C97" s="14">
        <v>151.13796310000001</v>
      </c>
      <c r="D97" s="5"/>
    </row>
    <row r="98" spans="1:4" ht="20.25" customHeight="1">
      <c r="A98" s="13" t="s">
        <v>28</v>
      </c>
      <c r="B98" s="13" t="s">
        <v>308</v>
      </c>
      <c r="C98" s="14">
        <v>131.6739656</v>
      </c>
      <c r="D98" s="5"/>
    </row>
    <row r="99" spans="1:4" ht="20.25" customHeight="1">
      <c r="A99" s="13" t="s">
        <v>309</v>
      </c>
      <c r="B99" s="13" t="s">
        <v>310</v>
      </c>
      <c r="C99" s="14">
        <v>105.7620184</v>
      </c>
      <c r="D99" s="5"/>
    </row>
    <row r="100" spans="1:4" ht="20.25" customHeight="1">
      <c r="A100" s="13" t="s">
        <v>30</v>
      </c>
      <c r="B100" s="13" t="s">
        <v>312</v>
      </c>
      <c r="C100" s="14">
        <v>168.6029437</v>
      </c>
      <c r="D100" s="5"/>
    </row>
    <row r="101" spans="1:4" ht="20.25" customHeight="1">
      <c r="A101" s="13" t="s">
        <v>89</v>
      </c>
      <c r="B101" s="13" t="s">
        <v>311</v>
      </c>
      <c r="C101" s="14">
        <v>67.745707429999996</v>
      </c>
      <c r="D101" s="5"/>
    </row>
    <row r="102" spans="1:4" ht="20.25" customHeight="1">
      <c r="A102" s="13" t="s">
        <v>57</v>
      </c>
      <c r="B102" s="13" t="s">
        <v>313</v>
      </c>
      <c r="C102" s="14">
        <v>125.6415835</v>
      </c>
      <c r="D102" s="5"/>
    </row>
    <row r="103" spans="1:4" ht="20.25" customHeight="1">
      <c r="A103" s="13" t="s">
        <v>111</v>
      </c>
      <c r="B103" s="13" t="s">
        <v>314</v>
      </c>
      <c r="C103" s="14">
        <v>121.16899909999999</v>
      </c>
      <c r="D103" s="5"/>
    </row>
    <row r="104" spans="1:4" ht="20.25" customHeight="1">
      <c r="A104" s="13" t="s">
        <v>317</v>
      </c>
      <c r="B104" s="13" t="s">
        <v>318</v>
      </c>
      <c r="C104" s="14">
        <v>49.11204961</v>
      </c>
      <c r="D104" s="5"/>
    </row>
    <row r="105" spans="1:4" ht="20.25" customHeight="1">
      <c r="A105" s="13" t="s">
        <v>425</v>
      </c>
      <c r="B105" s="13" t="s">
        <v>426</v>
      </c>
      <c r="C105" s="14">
        <v>24.13110412</v>
      </c>
      <c r="D105" s="5"/>
    </row>
    <row r="106" spans="1:4" ht="20.25" customHeight="1">
      <c r="A106" s="13" t="s">
        <v>29</v>
      </c>
      <c r="B106" s="13" t="s">
        <v>321</v>
      </c>
      <c r="C106" s="14">
        <v>148.68360770000001</v>
      </c>
      <c r="D106" s="5"/>
    </row>
    <row r="107" spans="1:4" ht="20.25" customHeight="1">
      <c r="A107" s="13" t="s">
        <v>533</v>
      </c>
      <c r="B107" s="13" t="s">
        <v>534</v>
      </c>
      <c r="C107" s="14">
        <v>34.540200910000003</v>
      </c>
      <c r="D107" s="5"/>
    </row>
    <row r="108" spans="1:4" ht="20.25" customHeight="1">
      <c r="A108" s="13" t="s">
        <v>25</v>
      </c>
      <c r="B108" s="13" t="s">
        <v>322</v>
      </c>
      <c r="C108" s="14">
        <v>168.35015759999999</v>
      </c>
      <c r="D108" s="5"/>
    </row>
    <row r="109" spans="1:4" ht="20.25" customHeight="1">
      <c r="A109" s="13" t="s">
        <v>113</v>
      </c>
      <c r="B109" s="13" t="s">
        <v>315</v>
      </c>
      <c r="C109" s="14">
        <v>106.925973</v>
      </c>
      <c r="D109" s="5"/>
    </row>
    <row r="110" spans="1:4" ht="20.25" customHeight="1">
      <c r="A110" s="13" t="s">
        <v>325</v>
      </c>
      <c r="B110" s="13" t="s">
        <v>326</v>
      </c>
      <c r="C110" s="14">
        <v>63.354604649999999</v>
      </c>
      <c r="D110" s="5"/>
    </row>
    <row r="111" spans="1:4" ht="20.25" customHeight="1">
      <c r="A111" s="13" t="s">
        <v>43</v>
      </c>
      <c r="B111" s="13" t="s">
        <v>353</v>
      </c>
      <c r="C111" s="14">
        <v>115.20262750000001</v>
      </c>
      <c r="D111" s="5"/>
    </row>
    <row r="112" spans="1:4" ht="20.25" customHeight="1">
      <c r="A112" s="13" t="s">
        <v>96</v>
      </c>
      <c r="B112" s="13" t="s">
        <v>327</v>
      </c>
      <c r="C112" s="14">
        <v>74.014834039999997</v>
      </c>
      <c r="D112" s="5"/>
    </row>
    <row r="113" spans="1:4" ht="20.25" customHeight="1">
      <c r="A113" s="13" t="s">
        <v>346</v>
      </c>
      <c r="B113" s="13" t="s">
        <v>347</v>
      </c>
      <c r="C113" s="14">
        <v>68.100135159999994</v>
      </c>
      <c r="D113" s="5"/>
    </row>
    <row r="114" spans="1:4" ht="20.25" customHeight="1">
      <c r="A114" s="13" t="s">
        <v>328</v>
      </c>
      <c r="B114" s="13" t="s">
        <v>329</v>
      </c>
      <c r="C114" s="14">
        <v>32.063888560000002</v>
      </c>
      <c r="D114" s="5"/>
    </row>
    <row r="115" spans="1:4" ht="20.25" customHeight="1">
      <c r="A115" s="13" t="s">
        <v>80</v>
      </c>
      <c r="B115" s="13" t="s">
        <v>330</v>
      </c>
      <c r="C115" s="14">
        <v>192.97309379999999</v>
      </c>
      <c r="D115" s="5"/>
    </row>
    <row r="116" spans="1:4" ht="20.25" customHeight="1">
      <c r="A116" s="13" t="s">
        <v>339</v>
      </c>
      <c r="B116" s="13" t="s">
        <v>340</v>
      </c>
      <c r="C116" s="14">
        <v>126.3066867</v>
      </c>
      <c r="D116" s="5"/>
    </row>
    <row r="117" spans="1:4" ht="20.25" customHeight="1">
      <c r="A117" s="13" t="s">
        <v>37</v>
      </c>
      <c r="B117" s="13" t="s">
        <v>350</v>
      </c>
      <c r="C117" s="14">
        <v>135.83415070000001</v>
      </c>
      <c r="D117" s="5"/>
    </row>
    <row r="118" spans="1:4" ht="20.25" customHeight="1">
      <c r="A118" s="13" t="s">
        <v>351</v>
      </c>
      <c r="B118" s="13" t="s">
        <v>352</v>
      </c>
      <c r="C118" s="14">
        <v>139.6512851</v>
      </c>
      <c r="D118" s="5"/>
    </row>
    <row r="119" spans="1:4" ht="20.25" customHeight="1">
      <c r="A119" s="13" t="s">
        <v>354</v>
      </c>
      <c r="B119" s="13" t="s">
        <v>355</v>
      </c>
      <c r="C119" s="14">
        <v>172.2447172</v>
      </c>
      <c r="D119" s="5"/>
    </row>
    <row r="120" spans="1:4" ht="20.25" customHeight="1">
      <c r="A120" s="13" t="s">
        <v>27</v>
      </c>
      <c r="B120" s="13" t="s">
        <v>362</v>
      </c>
      <c r="C120" s="14">
        <v>64.749492410000002</v>
      </c>
      <c r="D120" s="5"/>
    </row>
    <row r="121" spans="1:4" ht="20.25" customHeight="1">
      <c r="A121" s="13" t="s">
        <v>389</v>
      </c>
      <c r="B121" s="13" t="s">
        <v>390</v>
      </c>
      <c r="C121" s="14">
        <v>59.649570939999997</v>
      </c>
      <c r="D121" s="5"/>
    </row>
    <row r="122" spans="1:4" ht="20.25" customHeight="1">
      <c r="A122" s="13" t="s">
        <v>55</v>
      </c>
      <c r="B122" s="13" t="s">
        <v>391</v>
      </c>
      <c r="C122" s="14">
        <v>138.20844109999999</v>
      </c>
      <c r="D122" s="5"/>
    </row>
    <row r="123" spans="1:4" ht="20.25" customHeight="1">
      <c r="A123" s="13" t="s">
        <v>363</v>
      </c>
      <c r="B123" s="13" t="s">
        <v>364</v>
      </c>
      <c r="C123" s="14">
        <v>136.4586553</v>
      </c>
      <c r="D123" s="5"/>
    </row>
    <row r="124" spans="1:4" ht="20.25" customHeight="1">
      <c r="A124" s="13" t="s">
        <v>373</v>
      </c>
      <c r="B124" s="13" t="s">
        <v>374</v>
      </c>
      <c r="C124" s="14">
        <v>112.1198528</v>
      </c>
      <c r="D124" s="5"/>
    </row>
    <row r="125" spans="1:4" ht="20.25" customHeight="1">
      <c r="A125" s="13" t="s">
        <v>375</v>
      </c>
      <c r="B125" s="13" t="s">
        <v>376</v>
      </c>
      <c r="C125" s="14">
        <v>132.86115649999999</v>
      </c>
      <c r="D125" s="5"/>
    </row>
    <row r="126" spans="1:4" ht="20.25" customHeight="1">
      <c r="A126" s="13" t="s">
        <v>368</v>
      </c>
      <c r="B126" s="13" t="s">
        <v>369</v>
      </c>
      <c r="C126" s="14">
        <v>39.706065819999999</v>
      </c>
      <c r="D126" s="5"/>
    </row>
    <row r="127" spans="1:4" ht="20.25" customHeight="1">
      <c r="A127" s="13" t="s">
        <v>386</v>
      </c>
      <c r="B127" s="13" t="s">
        <v>387</v>
      </c>
      <c r="C127" s="14">
        <v>109.8838982</v>
      </c>
      <c r="D127" s="5"/>
    </row>
    <row r="128" spans="1:4" ht="20.25" customHeight="1">
      <c r="A128" s="13" t="s">
        <v>59</v>
      </c>
      <c r="B128" s="13" t="s">
        <v>388</v>
      </c>
      <c r="C128" s="14">
        <v>164.30927879999999</v>
      </c>
      <c r="D128" s="5"/>
    </row>
    <row r="129" spans="1:4" ht="20.25" customHeight="1">
      <c r="A129" s="13" t="s">
        <v>56</v>
      </c>
      <c r="B129" s="13" t="s">
        <v>367</v>
      </c>
      <c r="C129" s="14">
        <v>105.72062409999999</v>
      </c>
      <c r="D129" s="5"/>
    </row>
    <row r="130" spans="1:4" ht="20.25" customHeight="1">
      <c r="A130" s="13" t="s">
        <v>251</v>
      </c>
      <c r="B130" s="13" t="s">
        <v>252</v>
      </c>
      <c r="C130" s="14">
        <v>19.988583049999999</v>
      </c>
      <c r="D130" s="5"/>
    </row>
    <row r="131" spans="1:4" ht="20.25" customHeight="1">
      <c r="A131" s="13" t="s">
        <v>81</v>
      </c>
      <c r="B131" s="13" t="s">
        <v>361</v>
      </c>
      <c r="C131" s="14">
        <v>137.18255189999999</v>
      </c>
      <c r="D131" s="5"/>
    </row>
    <row r="132" spans="1:4" ht="20.25" customHeight="1">
      <c r="A132" s="13" t="s">
        <v>359</v>
      </c>
      <c r="B132" s="13" t="s">
        <v>360</v>
      </c>
      <c r="C132" s="14">
        <v>100.06164750000001</v>
      </c>
      <c r="D132" s="5"/>
    </row>
    <row r="133" spans="1:4" ht="20.25" customHeight="1">
      <c r="A133" s="13" t="s">
        <v>84</v>
      </c>
      <c r="B133" s="13" t="s">
        <v>382</v>
      </c>
      <c r="C133" s="14">
        <v>142.80858180000001</v>
      </c>
      <c r="D133" s="5"/>
    </row>
    <row r="134" spans="1:4" ht="20.25" customHeight="1">
      <c r="A134" s="13" t="s">
        <v>62</v>
      </c>
      <c r="B134" s="13" t="s">
        <v>381</v>
      </c>
      <c r="C134" s="14">
        <v>207.27814939999999</v>
      </c>
      <c r="D134" s="5"/>
    </row>
    <row r="135" spans="1:4" ht="20.25" customHeight="1">
      <c r="A135" s="13" t="s">
        <v>98</v>
      </c>
      <c r="B135" s="13" t="s">
        <v>358</v>
      </c>
      <c r="C135" s="14">
        <v>141.8700024</v>
      </c>
      <c r="D135" s="5"/>
    </row>
    <row r="136" spans="1:4" ht="20.25" customHeight="1">
      <c r="A136" s="13" t="s">
        <v>131</v>
      </c>
      <c r="B136" s="13" t="s">
        <v>385</v>
      </c>
      <c r="C136" s="14">
        <v>45.817819970000002</v>
      </c>
      <c r="D136" s="5"/>
    </row>
    <row r="137" spans="1:4" ht="20.25" customHeight="1">
      <c r="A137" s="13" t="s">
        <v>377</v>
      </c>
      <c r="B137" s="13" t="s">
        <v>378</v>
      </c>
      <c r="C137" s="14">
        <v>107.5350895</v>
      </c>
      <c r="D137" s="5"/>
    </row>
    <row r="138" spans="1:4" ht="20.25" customHeight="1">
      <c r="A138" s="13" t="s">
        <v>88</v>
      </c>
      <c r="B138" s="13" t="s">
        <v>394</v>
      </c>
      <c r="C138" s="14">
        <v>100.5578161</v>
      </c>
      <c r="D138" s="5"/>
    </row>
    <row r="139" spans="1:4" ht="20.25" customHeight="1">
      <c r="A139" s="13" t="s">
        <v>404</v>
      </c>
      <c r="B139" s="13" t="s">
        <v>405</v>
      </c>
      <c r="C139" s="14">
        <v>87.170578759999998</v>
      </c>
      <c r="D139" s="5"/>
    </row>
    <row r="140" spans="1:4" ht="20.25" customHeight="1">
      <c r="A140" s="13" t="s">
        <v>118</v>
      </c>
      <c r="B140" s="13" t="s">
        <v>403</v>
      </c>
      <c r="C140" s="14">
        <v>121.1144874</v>
      </c>
      <c r="D140" s="5"/>
    </row>
    <row r="141" spans="1:4" ht="20.25" customHeight="1">
      <c r="A141" s="13" t="s">
        <v>14</v>
      </c>
      <c r="B141" s="13" t="s">
        <v>401</v>
      </c>
      <c r="C141" s="14">
        <v>115.82055630000001</v>
      </c>
      <c r="D141" s="5"/>
    </row>
    <row r="142" spans="1:4" ht="20.25" customHeight="1">
      <c r="A142" s="13" t="s">
        <v>395</v>
      </c>
      <c r="B142" s="13" t="s">
        <v>396</v>
      </c>
      <c r="C142" s="14">
        <v>91.676389560000004</v>
      </c>
      <c r="D142" s="5"/>
    </row>
    <row r="143" spans="1:4" ht="20.25" customHeight="1">
      <c r="A143" s="13" t="s">
        <v>22</v>
      </c>
      <c r="B143" s="13" t="s">
        <v>406</v>
      </c>
      <c r="C143" s="14">
        <v>115.9841878</v>
      </c>
      <c r="D143" s="5"/>
    </row>
    <row r="144" spans="1:4" ht="20.25" customHeight="1">
      <c r="A144" s="13" t="s">
        <v>109</v>
      </c>
      <c r="B144" s="13" t="s">
        <v>400</v>
      </c>
      <c r="C144" s="14">
        <v>104.27848470000001</v>
      </c>
      <c r="D144" s="5"/>
    </row>
    <row r="145" spans="1:4" ht="20.25" customHeight="1">
      <c r="A145" s="13" t="s">
        <v>130</v>
      </c>
      <c r="B145" s="13" t="s">
        <v>397</v>
      </c>
      <c r="C145" s="14">
        <v>63.377054800000003</v>
      </c>
      <c r="D145" s="5"/>
    </row>
    <row r="146" spans="1:4" ht="20.25" customHeight="1">
      <c r="A146" s="13" t="s">
        <v>398</v>
      </c>
      <c r="B146" s="13" t="s">
        <v>399</v>
      </c>
      <c r="C146" s="14">
        <v>99.585215199999993</v>
      </c>
      <c r="D146" s="5"/>
    </row>
    <row r="147" spans="1:4" ht="20.25" customHeight="1">
      <c r="A147" s="13" t="s">
        <v>70</v>
      </c>
      <c r="B147" s="13" t="s">
        <v>372</v>
      </c>
      <c r="C147" s="14">
        <v>111.3030796</v>
      </c>
      <c r="D147" s="5"/>
    </row>
    <row r="148" spans="1:4" ht="20.25" customHeight="1">
      <c r="A148" s="13" t="s">
        <v>383</v>
      </c>
      <c r="B148" s="13" t="s">
        <v>384</v>
      </c>
      <c r="C148" s="13" t="s">
        <v>542</v>
      </c>
      <c r="D148" s="5"/>
    </row>
    <row r="149" spans="1:4" ht="20.25" customHeight="1">
      <c r="A149" s="13" t="s">
        <v>7</v>
      </c>
      <c r="B149" s="13" t="s">
        <v>402</v>
      </c>
      <c r="C149" s="14">
        <v>111.6571962</v>
      </c>
      <c r="D149" s="5"/>
    </row>
    <row r="150" spans="1:4" ht="20.25" customHeight="1">
      <c r="A150" s="13" t="s">
        <v>39</v>
      </c>
      <c r="B150" s="13" t="s">
        <v>409</v>
      </c>
      <c r="C150" s="14">
        <v>136.80057160000001</v>
      </c>
      <c r="D150" s="5"/>
    </row>
    <row r="151" spans="1:4" ht="20.25" customHeight="1">
      <c r="A151" s="13" t="s">
        <v>116</v>
      </c>
      <c r="B151" s="13" t="s">
        <v>412</v>
      </c>
      <c r="C151" s="14">
        <v>79.105053909999995</v>
      </c>
      <c r="D151" s="5"/>
    </row>
    <row r="152" spans="1:4" ht="20.25" customHeight="1">
      <c r="A152" s="13" t="s">
        <v>416</v>
      </c>
      <c r="B152" s="13" t="s">
        <v>417</v>
      </c>
      <c r="C152" s="14">
        <v>135.14274449999999</v>
      </c>
      <c r="D152" s="5"/>
    </row>
    <row r="153" spans="1:4" ht="20.25" customHeight="1">
      <c r="A153" s="13" t="s">
        <v>47</v>
      </c>
      <c r="B153" s="13" t="s">
        <v>413</v>
      </c>
      <c r="C153" s="14">
        <v>152.06217179999999</v>
      </c>
      <c r="D153" s="5"/>
    </row>
    <row r="154" spans="1:4" ht="20.25" customHeight="1">
      <c r="A154" s="13" t="s">
        <v>418</v>
      </c>
      <c r="B154" s="13" t="s">
        <v>419</v>
      </c>
      <c r="C154" s="14">
        <v>49.190668109999997</v>
      </c>
      <c r="D154" s="5"/>
    </row>
    <row r="155" spans="1:4" ht="20.25" customHeight="1">
      <c r="A155" s="13" t="s">
        <v>79</v>
      </c>
      <c r="B155" s="13" t="s">
        <v>428</v>
      </c>
      <c r="C155" s="14">
        <v>128.0880573</v>
      </c>
      <c r="D155" s="5"/>
    </row>
    <row r="156" spans="1:4" ht="20.25" customHeight="1">
      <c r="A156" s="13" t="s">
        <v>72</v>
      </c>
      <c r="B156" s="13" t="s">
        <v>414</v>
      </c>
      <c r="C156" s="14">
        <v>124.1193229</v>
      </c>
      <c r="D156" s="5"/>
    </row>
    <row r="157" spans="1:4" ht="20.25" customHeight="1">
      <c r="A157" s="13" t="s">
        <v>97</v>
      </c>
      <c r="B157" s="13" t="s">
        <v>415</v>
      </c>
      <c r="C157" s="14">
        <v>147.42892639999999</v>
      </c>
      <c r="D157" s="5"/>
    </row>
    <row r="158" spans="1:4" ht="20.25" customHeight="1">
      <c r="A158" s="13" t="s">
        <v>44</v>
      </c>
      <c r="B158" s="13" t="s">
        <v>420</v>
      </c>
      <c r="C158" s="14">
        <v>137.0021481</v>
      </c>
      <c r="D158" s="5"/>
    </row>
    <row r="159" spans="1:4" ht="20.25" customHeight="1">
      <c r="A159" s="13" t="s">
        <v>38</v>
      </c>
      <c r="B159" s="13" t="s">
        <v>427</v>
      </c>
      <c r="C159" s="14">
        <v>122.801309</v>
      </c>
      <c r="D159" s="5"/>
    </row>
    <row r="160" spans="1:4" ht="20.25" customHeight="1">
      <c r="A160" s="13" t="s">
        <v>423</v>
      </c>
      <c r="B160" s="13" t="s">
        <v>424</v>
      </c>
      <c r="C160" s="14">
        <v>120.2159046</v>
      </c>
      <c r="D160" s="5"/>
    </row>
    <row r="161" spans="1:4" ht="20.25" customHeight="1">
      <c r="A161" s="13" t="s">
        <v>10</v>
      </c>
      <c r="B161" s="13" t="s">
        <v>437</v>
      </c>
      <c r="C161" s="14">
        <v>162.24853970000001</v>
      </c>
      <c r="D161" s="5"/>
    </row>
    <row r="162" spans="1:4" ht="20.25" customHeight="1">
      <c r="A162" s="13" t="s">
        <v>49</v>
      </c>
      <c r="B162" s="13" t="s">
        <v>438</v>
      </c>
      <c r="C162" s="14">
        <v>121.1419429</v>
      </c>
      <c r="D162" s="5"/>
    </row>
    <row r="163" spans="1:4" ht="20.25" customHeight="1">
      <c r="A163" s="13" t="s">
        <v>48</v>
      </c>
      <c r="B163" s="13" t="s">
        <v>439</v>
      </c>
      <c r="C163" s="14">
        <v>168.47583130000001</v>
      </c>
      <c r="D163" s="5"/>
    </row>
    <row r="164" spans="1:4" ht="20.25" customHeight="1">
      <c r="A164" s="13" t="s">
        <v>124</v>
      </c>
      <c r="B164" s="13" t="s">
        <v>440</v>
      </c>
      <c r="C164" s="14">
        <v>80.595222489999998</v>
      </c>
      <c r="D164" s="5"/>
    </row>
    <row r="165" spans="1:4" ht="20.25" customHeight="1">
      <c r="A165" s="13" t="s">
        <v>531</v>
      </c>
      <c r="B165" s="13" t="s">
        <v>532</v>
      </c>
      <c r="C165" s="14">
        <v>62.398669519999999</v>
      </c>
      <c r="D165" s="5"/>
    </row>
    <row r="166" spans="1:4" ht="20.25" customHeight="1">
      <c r="A166" s="13" t="s">
        <v>454</v>
      </c>
      <c r="B166" s="13" t="s">
        <v>455</v>
      </c>
      <c r="C166" s="14">
        <v>120.26987389999999</v>
      </c>
      <c r="D166" s="5"/>
    </row>
    <row r="167" spans="1:4" ht="20.25" customHeight="1">
      <c r="A167" s="13" t="s">
        <v>467</v>
      </c>
      <c r="B167" s="13" t="s">
        <v>468</v>
      </c>
      <c r="C167" s="14">
        <v>86.778462689999998</v>
      </c>
      <c r="D167" s="5"/>
    </row>
    <row r="168" spans="1:4" ht="20.25" customHeight="1">
      <c r="A168" s="13" t="s">
        <v>443</v>
      </c>
      <c r="B168" s="13" t="s">
        <v>444</v>
      </c>
      <c r="C168" s="14">
        <v>149.79788260000001</v>
      </c>
      <c r="D168" s="5"/>
    </row>
    <row r="169" spans="1:4" ht="20.25" customHeight="1">
      <c r="A169" s="13" t="s">
        <v>115</v>
      </c>
      <c r="B169" s="13" t="s">
        <v>446</v>
      </c>
      <c r="C169" s="14">
        <v>118.1502935</v>
      </c>
      <c r="D169" s="5"/>
    </row>
    <row r="170" spans="1:4" ht="20.25" customHeight="1">
      <c r="A170" s="13" t="s">
        <v>61</v>
      </c>
      <c r="B170" s="13" t="s">
        <v>458</v>
      </c>
      <c r="C170" s="14">
        <v>129.8131496</v>
      </c>
      <c r="D170" s="5"/>
    </row>
    <row r="171" spans="1:4" ht="20.25" customHeight="1">
      <c r="A171" s="13" t="s">
        <v>477</v>
      </c>
      <c r="B171" s="13" t="s">
        <v>478</v>
      </c>
      <c r="C171" s="14">
        <v>163.42951830000001</v>
      </c>
      <c r="D171" s="5"/>
    </row>
    <row r="172" spans="1:4" ht="20.25" customHeight="1">
      <c r="A172" s="13" t="s">
        <v>451</v>
      </c>
      <c r="B172" s="13" t="s">
        <v>452</v>
      </c>
      <c r="C172" s="14">
        <v>107.88200089999999</v>
      </c>
      <c r="D172" s="5"/>
    </row>
    <row r="173" spans="1:4" ht="20.25" customHeight="1">
      <c r="A173" s="13" t="s">
        <v>447</v>
      </c>
      <c r="B173" s="13" t="s">
        <v>448</v>
      </c>
      <c r="C173" s="14">
        <v>173.00529130000001</v>
      </c>
      <c r="D173" s="5"/>
    </row>
    <row r="174" spans="1:4" ht="20.25" customHeight="1">
      <c r="A174" s="13" t="s">
        <v>475</v>
      </c>
      <c r="B174" s="13" t="s">
        <v>476</v>
      </c>
      <c r="C174" s="14">
        <v>205.37269509999999</v>
      </c>
      <c r="D174" s="5"/>
    </row>
    <row r="175" spans="1:4" ht="20.25" customHeight="1">
      <c r="A175" s="13" t="s">
        <v>40</v>
      </c>
      <c r="B175" s="13" t="s">
        <v>471</v>
      </c>
      <c r="C175" s="14">
        <v>136.0292896</v>
      </c>
      <c r="D175" s="5"/>
    </row>
    <row r="176" spans="1:4" ht="20.25" customHeight="1">
      <c r="A176" s="13" t="s">
        <v>34</v>
      </c>
      <c r="B176" s="13" t="s">
        <v>472</v>
      </c>
      <c r="C176" s="14">
        <v>126.4591808</v>
      </c>
      <c r="D176" s="5"/>
    </row>
    <row r="177" spans="1:4" ht="20.25" customHeight="1">
      <c r="A177" s="13" t="s">
        <v>449</v>
      </c>
      <c r="B177" s="13" t="s">
        <v>450</v>
      </c>
      <c r="C177" s="14">
        <v>62.073499550000001</v>
      </c>
      <c r="D177" s="5"/>
    </row>
    <row r="178" spans="1:4" ht="20.25" customHeight="1">
      <c r="A178" s="13" t="s">
        <v>456</v>
      </c>
      <c r="B178" s="13" t="s">
        <v>457</v>
      </c>
      <c r="C178" s="14">
        <v>49.680098700000002</v>
      </c>
      <c r="D178" s="5"/>
    </row>
    <row r="179" spans="1:4" ht="20.25" customHeight="1">
      <c r="A179" s="13" t="s">
        <v>537</v>
      </c>
      <c r="B179" s="13" t="s">
        <v>538</v>
      </c>
      <c r="C179" s="14">
        <v>160.72851170000001</v>
      </c>
      <c r="D179" s="5"/>
    </row>
    <row r="180" spans="1:4" ht="20.25" customHeight="1">
      <c r="A180" s="13" t="s">
        <v>461</v>
      </c>
      <c r="B180" s="13" t="s">
        <v>462</v>
      </c>
      <c r="C180" s="14">
        <v>48.488832000000002</v>
      </c>
      <c r="D180" s="5"/>
    </row>
    <row r="181" spans="1:4" ht="20.25" customHeight="1">
      <c r="A181" s="13" t="s">
        <v>33</v>
      </c>
      <c r="B181" s="13" t="s">
        <v>238</v>
      </c>
      <c r="C181" s="14">
        <v>123.3995288</v>
      </c>
      <c r="D181" s="5"/>
    </row>
    <row r="182" spans="1:4" ht="20.25" customHeight="1">
      <c r="A182" s="13" t="s">
        <v>99</v>
      </c>
      <c r="B182" s="13" t="s">
        <v>341</v>
      </c>
      <c r="C182" s="14">
        <v>151.72675760000001</v>
      </c>
      <c r="D182" s="5"/>
    </row>
    <row r="183" spans="1:4" ht="20.25" customHeight="1">
      <c r="A183" s="13" t="s">
        <v>319</v>
      </c>
      <c r="B183" s="13" t="s">
        <v>320</v>
      </c>
      <c r="C183" s="14">
        <v>116.9239333</v>
      </c>
      <c r="D183" s="5"/>
    </row>
    <row r="184" spans="1:4" ht="20.25" customHeight="1">
      <c r="A184" s="13" t="s">
        <v>331</v>
      </c>
      <c r="B184" s="13" t="s">
        <v>332</v>
      </c>
      <c r="C184" s="14">
        <v>98.667643650000002</v>
      </c>
      <c r="D184" s="5"/>
    </row>
    <row r="185" spans="1:4" ht="20.25" customHeight="1">
      <c r="A185" s="13" t="s">
        <v>356</v>
      </c>
      <c r="B185" s="13" t="s">
        <v>357</v>
      </c>
      <c r="C185" s="13" t="s">
        <v>542</v>
      </c>
      <c r="D185" s="5"/>
    </row>
    <row r="186" spans="1:4" ht="20.25" customHeight="1">
      <c r="A186" s="13" t="s">
        <v>519</v>
      </c>
      <c r="B186" s="13" t="s">
        <v>520</v>
      </c>
      <c r="C186" s="14">
        <v>102.3342414</v>
      </c>
      <c r="D186" s="5"/>
    </row>
    <row r="187" spans="1:4" ht="20.25" customHeight="1">
      <c r="A187" s="13" t="s">
        <v>122</v>
      </c>
      <c r="B187" s="13" t="s">
        <v>445</v>
      </c>
      <c r="C187" s="14">
        <v>70.208403860000004</v>
      </c>
      <c r="D187" s="5"/>
    </row>
    <row r="188" spans="1:4" ht="20.25" customHeight="1">
      <c r="A188" s="13" t="s">
        <v>469</v>
      </c>
      <c r="B188" s="13" t="s">
        <v>470</v>
      </c>
      <c r="C188" s="14">
        <v>149.05225590000001</v>
      </c>
      <c r="D188" s="5"/>
    </row>
    <row r="189" spans="1:4" ht="20.25" customHeight="1">
      <c r="A189" s="13" t="s">
        <v>17</v>
      </c>
      <c r="B189" s="13" t="s">
        <v>473</v>
      </c>
      <c r="C189" s="14">
        <v>140.78166450000001</v>
      </c>
      <c r="D189" s="5"/>
    </row>
    <row r="190" spans="1:4" ht="20.25" customHeight="1">
      <c r="A190" s="13" t="s">
        <v>9</v>
      </c>
      <c r="B190" s="13" t="s">
        <v>188</v>
      </c>
      <c r="C190" s="14">
        <v>123.9712281</v>
      </c>
      <c r="D190" s="5"/>
    </row>
    <row r="191" spans="1:4" ht="20.25" customHeight="1">
      <c r="A191" s="13" t="s">
        <v>479</v>
      </c>
      <c r="B191" s="13" t="s">
        <v>480</v>
      </c>
      <c r="C191" s="14">
        <v>78.656784450000004</v>
      </c>
      <c r="D191" s="5"/>
    </row>
    <row r="192" spans="1:4" ht="20.25" customHeight="1">
      <c r="A192" s="13" t="s">
        <v>121</v>
      </c>
      <c r="B192" s="13" t="s">
        <v>490</v>
      </c>
      <c r="C192" s="14">
        <v>63.844208070000001</v>
      </c>
      <c r="D192" s="5"/>
    </row>
    <row r="193" spans="1:4" ht="20.25" customHeight="1">
      <c r="A193" s="13" t="s">
        <v>120</v>
      </c>
      <c r="B193" s="13" t="s">
        <v>511</v>
      </c>
      <c r="C193" s="14">
        <v>93.015974619999994</v>
      </c>
      <c r="D193" s="5"/>
    </row>
    <row r="194" spans="1:4" ht="20.25" customHeight="1">
      <c r="A194" s="13" t="s">
        <v>73</v>
      </c>
      <c r="B194" s="13" t="s">
        <v>489</v>
      </c>
      <c r="C194" s="14">
        <v>176.2227925</v>
      </c>
      <c r="D194" s="5"/>
    </row>
    <row r="195" spans="1:4" ht="20.25" customHeight="1">
      <c r="A195" s="13" t="s">
        <v>495</v>
      </c>
      <c r="B195" s="13" t="s">
        <v>496</v>
      </c>
      <c r="C195" s="14">
        <v>108.1583589</v>
      </c>
      <c r="D195" s="5"/>
    </row>
    <row r="196" spans="1:4" ht="20.25" customHeight="1">
      <c r="A196" s="13" t="s">
        <v>127</v>
      </c>
      <c r="B196" s="13" t="s">
        <v>488</v>
      </c>
      <c r="C196" s="14">
        <v>72.2147547</v>
      </c>
      <c r="D196" s="5"/>
    </row>
    <row r="197" spans="1:4" ht="20.25" customHeight="1">
      <c r="A197" s="13" t="s">
        <v>499</v>
      </c>
      <c r="B197" s="13" t="s">
        <v>500</v>
      </c>
      <c r="C197" s="14">
        <v>61.725785879999997</v>
      </c>
      <c r="D197" s="5"/>
    </row>
    <row r="198" spans="1:4" ht="20.25" customHeight="1">
      <c r="A198" s="13" t="s">
        <v>505</v>
      </c>
      <c r="B198" s="13" t="s">
        <v>506</v>
      </c>
      <c r="C198" s="14">
        <v>133.63198990000001</v>
      </c>
      <c r="D198" s="5"/>
    </row>
    <row r="199" spans="1:4" ht="20.25" customHeight="1">
      <c r="A199" s="13" t="s">
        <v>94</v>
      </c>
      <c r="B199" s="13" t="s">
        <v>507</v>
      </c>
      <c r="C199" s="14">
        <v>131.87536539999999</v>
      </c>
      <c r="D199" s="5"/>
    </row>
    <row r="200" spans="1:4" ht="20.25" customHeight="1">
      <c r="A200" s="13" t="s">
        <v>58</v>
      </c>
      <c r="B200" s="13" t="s">
        <v>508</v>
      </c>
      <c r="C200" s="14">
        <v>103.7205936</v>
      </c>
      <c r="D200" s="5"/>
    </row>
    <row r="201" spans="1:4" ht="20.25" customHeight="1">
      <c r="A201" s="13" t="s">
        <v>491</v>
      </c>
      <c r="B201" s="13" t="s">
        <v>492</v>
      </c>
      <c r="C201" s="13" t="s">
        <v>542</v>
      </c>
      <c r="D201" s="5"/>
    </row>
    <row r="202" spans="1:4" ht="20.25" customHeight="1">
      <c r="A202" s="13" t="s">
        <v>481</v>
      </c>
      <c r="B202" s="13" t="s">
        <v>482</v>
      </c>
      <c r="C202" s="13" t="s">
        <v>542</v>
      </c>
      <c r="D202" s="5"/>
    </row>
    <row r="203" spans="1:4" ht="20.25" customHeight="1">
      <c r="A203" s="13" t="s">
        <v>509</v>
      </c>
      <c r="B203" s="13" t="s">
        <v>510</v>
      </c>
      <c r="C203" s="14">
        <v>98.859087270000003</v>
      </c>
      <c r="D203" s="5"/>
    </row>
    <row r="204" spans="1:4" ht="20.25" customHeight="1">
      <c r="A204" s="13" t="s">
        <v>126</v>
      </c>
      <c r="B204" s="13" t="s">
        <v>512</v>
      </c>
      <c r="C204" s="14">
        <v>70.1401118</v>
      </c>
      <c r="D204" s="5"/>
    </row>
    <row r="205" spans="1:4" ht="20.25" customHeight="1">
      <c r="A205" s="13" t="s">
        <v>91</v>
      </c>
      <c r="B205" s="13" t="s">
        <v>513</v>
      </c>
      <c r="C205" s="14">
        <v>120.26114490000001</v>
      </c>
      <c r="D205" s="5"/>
    </row>
    <row r="206" spans="1:4" ht="20.25" customHeight="1">
      <c r="A206" s="13" t="s">
        <v>148</v>
      </c>
      <c r="B206" s="13" t="s">
        <v>149</v>
      </c>
      <c r="C206" s="14">
        <v>195.62459250000001</v>
      </c>
      <c r="D206" s="5"/>
    </row>
    <row r="207" spans="1:4" ht="20.25" customHeight="1">
      <c r="A207" s="13" t="s">
        <v>23</v>
      </c>
      <c r="B207" s="13" t="s">
        <v>254</v>
      </c>
      <c r="C207" s="14">
        <v>119.8339995</v>
      </c>
      <c r="D207" s="5"/>
    </row>
    <row r="208" spans="1:4" ht="20.25" customHeight="1">
      <c r="A208" s="13" t="s">
        <v>11</v>
      </c>
      <c r="B208" s="13" t="s">
        <v>517</v>
      </c>
      <c r="C208" s="14">
        <v>108.7856407</v>
      </c>
      <c r="D208" s="5"/>
    </row>
    <row r="209" spans="1:4" ht="20.25" customHeight="1">
      <c r="A209" s="13" t="s">
        <v>42</v>
      </c>
      <c r="B209" s="13" t="s">
        <v>516</v>
      </c>
      <c r="C209" s="14">
        <v>139.82880130000001</v>
      </c>
      <c r="D209" s="5"/>
    </row>
    <row r="210" spans="1:4" ht="20.25" customHeight="1">
      <c r="A210" s="13" t="s">
        <v>104</v>
      </c>
      <c r="B210" s="13" t="s">
        <v>518</v>
      </c>
      <c r="C210" s="14">
        <v>105.4716433</v>
      </c>
      <c r="D210" s="5"/>
    </row>
    <row r="211" spans="1:4" ht="20.25" customHeight="1">
      <c r="A211" s="13" t="s">
        <v>527</v>
      </c>
      <c r="B211" s="13" t="s">
        <v>528</v>
      </c>
      <c r="C211" s="14">
        <v>81.620273060000002</v>
      </c>
      <c r="D211" s="5"/>
    </row>
    <row r="212" spans="1:4" ht="20.25" customHeight="1">
      <c r="A212" s="13" t="s">
        <v>100</v>
      </c>
      <c r="B212" s="13" t="s">
        <v>521</v>
      </c>
      <c r="C212" s="14">
        <v>66.466773119999999</v>
      </c>
      <c r="D212" s="5"/>
    </row>
    <row r="213" spans="1:4" ht="20.25" customHeight="1">
      <c r="A213" s="13" t="s">
        <v>92</v>
      </c>
      <c r="B213" s="13" t="s">
        <v>526</v>
      </c>
      <c r="C213" s="14">
        <v>137.8524228</v>
      </c>
      <c r="D213" s="5"/>
    </row>
    <row r="214" spans="1:4" ht="20.25" customHeight="1">
      <c r="A214" s="13" t="s">
        <v>524</v>
      </c>
      <c r="B214" s="13" t="s">
        <v>525</v>
      </c>
      <c r="C214" s="14">
        <v>91.461962619999994</v>
      </c>
      <c r="D214" s="5"/>
    </row>
    <row r="215" spans="1:4" ht="20.25" customHeight="1">
      <c r="A215" s="13" t="s">
        <v>429</v>
      </c>
      <c r="B215" s="13" t="s">
        <v>430</v>
      </c>
      <c r="C215" s="14">
        <v>76.566640340000006</v>
      </c>
      <c r="D215" s="5"/>
    </row>
    <row r="216" spans="1:4" ht="20.25" customHeight="1">
      <c r="A216" s="13" t="s">
        <v>535</v>
      </c>
      <c r="B216" s="13" t="s">
        <v>536</v>
      </c>
      <c r="C216" s="14">
        <v>46.453435370000001</v>
      </c>
      <c r="D216" s="5"/>
    </row>
    <row r="217" spans="1:4" ht="20.25" customHeight="1">
      <c r="A217" s="13" t="s">
        <v>117</v>
      </c>
      <c r="B217" s="13" t="s">
        <v>539</v>
      </c>
      <c r="C217" s="14">
        <v>98.437260120000005</v>
      </c>
      <c r="D217" s="5"/>
    </row>
    <row r="218" spans="1:4" ht="20.25" customHeight="1">
      <c r="A218" s="13" t="s">
        <v>105</v>
      </c>
      <c r="B218" s="13" t="s">
        <v>540</v>
      </c>
      <c r="C218" s="14">
        <v>88.99583149</v>
      </c>
      <c r="D218" s="5"/>
    </row>
    <row r="219" spans="1:4" ht="20.25" customHeight="1">
      <c r="A219" s="13" t="s">
        <v>136</v>
      </c>
      <c r="B219" s="13" t="s">
        <v>137</v>
      </c>
      <c r="C219" s="14">
        <v>77.7</v>
      </c>
      <c r="D219" s="5"/>
    </row>
    <row r="220" spans="1:4" ht="20.25" customHeight="1">
      <c r="A220" s="13" t="s">
        <v>140</v>
      </c>
      <c r="B220" s="13" t="s">
        <v>141</v>
      </c>
      <c r="C220" s="14">
        <v>102.1</v>
      </c>
      <c r="D220" s="5"/>
    </row>
    <row r="221" spans="1:4" ht="20.25" customHeight="1">
      <c r="A221" s="13" t="s">
        <v>146</v>
      </c>
      <c r="B221" s="13" t="s">
        <v>147</v>
      </c>
      <c r="C221" s="14">
        <v>102.9255685</v>
      </c>
      <c r="D221" s="5"/>
    </row>
    <row r="222" spans="1:4" ht="20.25" customHeight="1">
      <c r="A222" s="13" t="s">
        <v>203</v>
      </c>
      <c r="B222" s="13" t="s">
        <v>204</v>
      </c>
      <c r="C222" s="13" t="s">
        <v>542</v>
      </c>
      <c r="D222" s="5"/>
    </row>
    <row r="223" spans="1:4" ht="20.25" customHeight="1">
      <c r="A223" s="13" t="s">
        <v>186</v>
      </c>
      <c r="B223" s="13" t="s">
        <v>187</v>
      </c>
      <c r="C223" s="14">
        <v>124.68335999999999</v>
      </c>
      <c r="D223" s="5"/>
    </row>
    <row r="224" spans="1:4" ht="20.25" customHeight="1">
      <c r="A224" s="13" t="s">
        <v>223</v>
      </c>
      <c r="B224" s="13" t="s">
        <v>224</v>
      </c>
      <c r="C224" s="14">
        <v>96.365399539999999</v>
      </c>
      <c r="D224" s="5"/>
    </row>
    <row r="225" spans="1:4" ht="20.25" customHeight="1">
      <c r="A225" s="13" t="s">
        <v>225</v>
      </c>
      <c r="B225" s="13" t="s">
        <v>226</v>
      </c>
      <c r="C225" s="14">
        <v>128.69999999999999</v>
      </c>
      <c r="D225" s="5"/>
    </row>
    <row r="226" spans="1:4" ht="20.25" customHeight="1">
      <c r="A226" s="13" t="s">
        <v>221</v>
      </c>
      <c r="B226" s="13" t="s">
        <v>222</v>
      </c>
      <c r="C226" s="14">
        <v>125.5</v>
      </c>
      <c r="D226" s="5"/>
    </row>
    <row r="227" spans="1:4" ht="20.25" customHeight="1">
      <c r="A227" s="13" t="s">
        <v>484</v>
      </c>
      <c r="B227" s="13" t="s">
        <v>485</v>
      </c>
      <c r="C227" s="14">
        <v>126.8</v>
      </c>
      <c r="D227" s="5"/>
    </row>
    <row r="228" spans="1:4" ht="20.25" customHeight="1">
      <c r="A228" s="13" t="s">
        <v>234</v>
      </c>
      <c r="B228" s="13" t="s">
        <v>235</v>
      </c>
      <c r="C228" s="14">
        <v>123.5049226</v>
      </c>
      <c r="D228" s="5"/>
    </row>
    <row r="229" spans="1:4" ht="20.25" customHeight="1">
      <c r="A229" s="13" t="s">
        <v>229</v>
      </c>
      <c r="B229" s="13" t="s">
        <v>230</v>
      </c>
      <c r="C229" s="14">
        <v>126.6</v>
      </c>
      <c r="D229" s="5"/>
    </row>
    <row r="230" spans="1:4" ht="20.25" customHeight="1">
      <c r="A230" s="13" t="s">
        <v>227</v>
      </c>
      <c r="B230" s="13" t="s">
        <v>228</v>
      </c>
      <c r="C230" s="14">
        <v>110</v>
      </c>
      <c r="D230" s="5"/>
    </row>
    <row r="231" spans="1:4" ht="20.25" customHeight="1">
      <c r="A231" s="13" t="s">
        <v>486</v>
      </c>
      <c r="B231" s="13" t="s">
        <v>487</v>
      </c>
      <c r="C231" s="14">
        <v>131.1</v>
      </c>
      <c r="D231" s="5"/>
    </row>
    <row r="232" spans="1:4" ht="20.25" customHeight="1">
      <c r="A232" s="13" t="s">
        <v>241</v>
      </c>
      <c r="B232" s="13" t="s">
        <v>242</v>
      </c>
      <c r="C232" s="14">
        <v>123.6870997</v>
      </c>
      <c r="D232" s="5"/>
    </row>
    <row r="233" spans="1:4" ht="20.25" customHeight="1">
      <c r="A233" s="13" t="s">
        <v>243</v>
      </c>
      <c r="B233" s="13" t="s">
        <v>244</v>
      </c>
      <c r="C233" s="14">
        <v>78.400000000000006</v>
      </c>
      <c r="D233" s="5"/>
    </row>
    <row r="234" spans="1:4" ht="20.25" customHeight="1">
      <c r="A234" s="13" t="s">
        <v>281</v>
      </c>
      <c r="B234" s="13" t="s">
        <v>282</v>
      </c>
      <c r="C234" s="14">
        <v>76.714022189999994</v>
      </c>
      <c r="D234" s="5"/>
    </row>
    <row r="235" spans="1:4" ht="20.25" customHeight="1">
      <c r="A235" s="13" t="s">
        <v>276</v>
      </c>
      <c r="B235" s="13" t="s">
        <v>277</v>
      </c>
      <c r="C235" s="14">
        <v>131.30000000000001</v>
      </c>
      <c r="D235" s="5"/>
    </row>
    <row r="236" spans="1:4" ht="20.25" customHeight="1">
      <c r="A236" s="13" t="s">
        <v>286</v>
      </c>
      <c r="B236" s="13" t="s">
        <v>287</v>
      </c>
      <c r="C236" s="14">
        <v>112.2</v>
      </c>
      <c r="D236" s="5"/>
    </row>
    <row r="237" spans="1:4" ht="20.25" customHeight="1">
      <c r="A237" s="13" t="s">
        <v>288</v>
      </c>
      <c r="B237" s="13" t="s">
        <v>289</v>
      </c>
      <c r="C237" s="14">
        <v>105.2</v>
      </c>
      <c r="D237" s="5"/>
    </row>
    <row r="238" spans="1:4" ht="20.25" customHeight="1">
      <c r="A238" s="13" t="s">
        <v>292</v>
      </c>
      <c r="B238" s="13" t="s">
        <v>293</v>
      </c>
      <c r="C238" s="14">
        <v>95.5</v>
      </c>
      <c r="D238" s="5"/>
    </row>
    <row r="239" spans="1:4" ht="20.25" customHeight="1">
      <c r="A239" s="13" t="s">
        <v>295</v>
      </c>
      <c r="B239" s="13" t="s">
        <v>296</v>
      </c>
      <c r="C239" s="14">
        <v>81.8</v>
      </c>
      <c r="D239" s="5"/>
    </row>
    <row r="240" spans="1:4" ht="20.25" customHeight="1">
      <c r="A240" s="13" t="s">
        <v>290</v>
      </c>
      <c r="B240" s="13" t="s">
        <v>291</v>
      </c>
      <c r="C240" s="14">
        <v>86.6</v>
      </c>
      <c r="D240" s="5"/>
    </row>
    <row r="241" spans="1:4" ht="20.25" customHeight="1">
      <c r="A241" s="13" t="s">
        <v>348</v>
      </c>
      <c r="B241" s="13" t="s">
        <v>349</v>
      </c>
      <c r="C241" s="14">
        <v>126.7458281</v>
      </c>
      <c r="D241" s="5"/>
    </row>
    <row r="242" spans="1:4" ht="20.25" customHeight="1">
      <c r="A242" s="13" t="s">
        <v>333</v>
      </c>
      <c r="B242" s="13" t="s">
        <v>334</v>
      </c>
      <c r="C242" s="14">
        <v>109.9</v>
      </c>
      <c r="D242" s="5"/>
    </row>
    <row r="243" spans="1:4" ht="20.25" customHeight="1">
      <c r="A243" s="13" t="s">
        <v>323</v>
      </c>
      <c r="B243" s="13" t="s">
        <v>324</v>
      </c>
      <c r="C243" s="14">
        <v>110.4</v>
      </c>
      <c r="D243" s="5"/>
    </row>
    <row r="244" spans="1:4" ht="20.25" customHeight="1">
      <c r="A244" s="13" t="s">
        <v>493</v>
      </c>
      <c r="B244" s="13" t="s">
        <v>494</v>
      </c>
      <c r="C244" s="14">
        <v>110.6</v>
      </c>
      <c r="D244" s="5"/>
    </row>
    <row r="245" spans="1:4" ht="20.25" customHeight="1">
      <c r="A245" s="13" t="s">
        <v>335</v>
      </c>
      <c r="B245" s="13" t="s">
        <v>336</v>
      </c>
      <c r="C245" s="14">
        <v>78.7</v>
      </c>
      <c r="D245" s="5"/>
    </row>
    <row r="246" spans="1:4" ht="20.25" customHeight="1">
      <c r="A246" s="13" t="s">
        <v>344</v>
      </c>
      <c r="B246" s="13" t="s">
        <v>345</v>
      </c>
      <c r="C246" s="14">
        <v>104.40155900000001</v>
      </c>
      <c r="D246" s="5"/>
    </row>
    <row r="247" spans="1:4" ht="20.25" customHeight="1">
      <c r="A247" s="13" t="s">
        <v>337</v>
      </c>
      <c r="B247" s="13" t="s">
        <v>338</v>
      </c>
      <c r="C247" s="14">
        <v>62.5</v>
      </c>
      <c r="D247" s="5"/>
    </row>
    <row r="248" spans="1:4" ht="20.25" customHeight="1">
      <c r="A248" s="13" t="s">
        <v>342</v>
      </c>
      <c r="B248" s="13" t="s">
        <v>343</v>
      </c>
      <c r="C248" s="14">
        <v>93.6</v>
      </c>
      <c r="D248" s="5"/>
    </row>
    <row r="249" spans="1:4" ht="20.25" customHeight="1">
      <c r="A249" s="13" t="s">
        <v>365</v>
      </c>
      <c r="B249" s="13" t="s">
        <v>366</v>
      </c>
      <c r="C249" s="14">
        <v>101.5</v>
      </c>
      <c r="D249" s="5"/>
    </row>
    <row r="250" spans="1:4" ht="20.25" customHeight="1">
      <c r="A250" s="13" t="s">
        <v>379</v>
      </c>
      <c r="B250" s="13" t="s">
        <v>380</v>
      </c>
      <c r="C250" s="14">
        <v>96.4</v>
      </c>
      <c r="D250" s="5"/>
    </row>
    <row r="251" spans="1:4" ht="20.25" customHeight="1">
      <c r="A251" s="13" t="s">
        <v>497</v>
      </c>
      <c r="B251" s="13" t="s">
        <v>498</v>
      </c>
      <c r="C251" s="14">
        <v>96.5</v>
      </c>
      <c r="D251" s="5"/>
    </row>
    <row r="252" spans="1:4" ht="20.25" customHeight="1">
      <c r="A252" s="13" t="s">
        <v>370</v>
      </c>
      <c r="B252" s="13" t="s">
        <v>371</v>
      </c>
      <c r="C252" s="14">
        <v>108.2608647</v>
      </c>
      <c r="D252" s="5"/>
    </row>
    <row r="253" spans="1:4" ht="20.25" customHeight="1">
      <c r="A253" s="13" t="s">
        <v>392</v>
      </c>
      <c r="B253" s="13" t="s">
        <v>393</v>
      </c>
      <c r="C253" s="14">
        <v>107</v>
      </c>
      <c r="D253" s="5"/>
    </row>
    <row r="254" spans="1:4" ht="20.25" customHeight="1">
      <c r="A254" s="13" t="s">
        <v>300</v>
      </c>
      <c r="B254" s="13" t="s">
        <v>301</v>
      </c>
      <c r="C254" s="13" t="s">
        <v>542</v>
      </c>
      <c r="D254" s="5"/>
    </row>
    <row r="255" spans="1:4" ht="20.25" customHeight="1">
      <c r="A255" s="13" t="s">
        <v>407</v>
      </c>
      <c r="B255" s="13" t="s">
        <v>408</v>
      </c>
      <c r="C255" s="14">
        <v>122.3048051</v>
      </c>
      <c r="D255" s="5"/>
    </row>
    <row r="256" spans="1:4" ht="20.25" customHeight="1">
      <c r="A256" s="13" t="s">
        <v>410</v>
      </c>
      <c r="B256" s="13" t="s">
        <v>411</v>
      </c>
      <c r="C256" s="14">
        <v>124.93673219999999</v>
      </c>
      <c r="D256" s="5"/>
    </row>
    <row r="257" spans="1:4" ht="20.25" customHeight="1">
      <c r="A257" s="13" t="s">
        <v>431</v>
      </c>
      <c r="B257" s="13" t="s">
        <v>432</v>
      </c>
      <c r="C257" s="13" t="s">
        <v>542</v>
      </c>
      <c r="D257" s="5"/>
    </row>
    <row r="258" spans="1:4" ht="20.25" customHeight="1">
      <c r="A258" s="13" t="s">
        <v>433</v>
      </c>
      <c r="B258" s="13" t="s">
        <v>434</v>
      </c>
      <c r="C258" s="14">
        <v>124.3530579</v>
      </c>
      <c r="D258" s="5"/>
    </row>
    <row r="259" spans="1:4" ht="20.25" customHeight="1">
      <c r="A259" s="13" t="s">
        <v>421</v>
      </c>
      <c r="B259" s="13" t="s">
        <v>422</v>
      </c>
      <c r="C259" s="14">
        <v>86.780567500000004</v>
      </c>
      <c r="D259" s="5"/>
    </row>
    <row r="260" spans="1:4" ht="20.25" customHeight="1">
      <c r="A260" s="13" t="s">
        <v>465</v>
      </c>
      <c r="B260" s="13" t="s">
        <v>466</v>
      </c>
      <c r="C260" s="14">
        <v>117.2</v>
      </c>
      <c r="D260" s="5"/>
    </row>
    <row r="261" spans="1:4" ht="20.25" customHeight="1">
      <c r="A261" s="13" t="s">
        <v>441</v>
      </c>
      <c r="B261" s="13" t="s">
        <v>442</v>
      </c>
      <c r="C261" s="14">
        <v>85</v>
      </c>
      <c r="D261" s="5"/>
    </row>
    <row r="262" spans="1:4" ht="20.25" customHeight="1">
      <c r="A262" s="13" t="s">
        <v>501</v>
      </c>
      <c r="B262" s="13" t="s">
        <v>502</v>
      </c>
      <c r="C262" s="14">
        <v>85</v>
      </c>
      <c r="D262" s="5"/>
    </row>
    <row r="263" spans="1:4" ht="20.25" customHeight="1">
      <c r="A263" s="13" t="s">
        <v>463</v>
      </c>
      <c r="B263" s="13" t="s">
        <v>464</v>
      </c>
      <c r="C263" s="14">
        <v>87.6</v>
      </c>
      <c r="D263" s="5"/>
    </row>
    <row r="264" spans="1:4" ht="20.25" customHeight="1">
      <c r="A264" s="13" t="s">
        <v>459</v>
      </c>
      <c r="B264" s="13" t="s">
        <v>460</v>
      </c>
      <c r="C264" s="14">
        <v>91</v>
      </c>
      <c r="D264" s="5"/>
    </row>
    <row r="265" spans="1:4" ht="20.25" customHeight="1">
      <c r="A265" s="13" t="s">
        <v>503</v>
      </c>
      <c r="B265" s="13" t="s">
        <v>504</v>
      </c>
      <c r="C265" s="14">
        <v>87.6</v>
      </c>
      <c r="D265" s="5"/>
    </row>
    <row r="266" spans="1:4" ht="20.25" customHeight="1">
      <c r="A266" s="13" t="s">
        <v>514</v>
      </c>
      <c r="B266" s="13" t="s">
        <v>515</v>
      </c>
      <c r="C266" s="14">
        <v>124.1</v>
      </c>
      <c r="D266" s="5"/>
    </row>
    <row r="267" spans="1:4" ht="15.75" customHeight="1">
      <c r="A267" s="9"/>
      <c r="B267" s="9"/>
      <c r="C267" s="9"/>
    </row>
    <row r="268" spans="1:4" ht="15.75" customHeight="1">
      <c r="A268" s="9"/>
      <c r="B268" s="9"/>
      <c r="C268" s="9"/>
    </row>
    <row r="269" spans="1:4" ht="15.75" customHeight="1">
      <c r="A269" s="9"/>
      <c r="B269" s="9"/>
      <c r="C269" s="9"/>
    </row>
    <row r="270" spans="1:4" ht="15.75" customHeight="1">
      <c r="A270" s="9"/>
      <c r="B270" s="9"/>
      <c r="C270" s="9"/>
    </row>
    <row r="271" spans="1:4" ht="15.75" customHeight="1">
      <c r="A271" s="9"/>
      <c r="B271" s="9"/>
      <c r="C271" s="9"/>
    </row>
    <row r="272" spans="1:4" ht="15.75" customHeight="1">
      <c r="A272" s="9"/>
      <c r="B272" s="9"/>
      <c r="C272" s="9"/>
    </row>
    <row r="273" spans="1:3" ht="15.75" customHeight="1">
      <c r="A273" s="9"/>
      <c r="B273" s="9"/>
      <c r="C273" s="9"/>
    </row>
    <row r="274" spans="1:3" ht="15.75" customHeight="1">
      <c r="A274" s="9"/>
      <c r="B274" s="9"/>
      <c r="C274" s="9"/>
    </row>
    <row r="275" spans="1:3" ht="15.75" customHeight="1">
      <c r="A275" s="9"/>
      <c r="B275" s="9"/>
      <c r="C275" s="9"/>
    </row>
    <row r="276" spans="1:3" ht="15.75" customHeight="1">
      <c r="A276" s="9"/>
      <c r="B276" s="9"/>
      <c r="C276" s="9"/>
    </row>
    <row r="277" spans="1:3" ht="15.75" customHeight="1">
      <c r="A277" s="9"/>
      <c r="B277" s="9"/>
      <c r="C277" s="9"/>
    </row>
    <row r="278" spans="1:3" ht="15.75" customHeight="1">
      <c r="A278" s="9"/>
      <c r="B278" s="9"/>
      <c r="C278" s="9"/>
    </row>
    <row r="279" spans="1:3" ht="15.75" customHeight="1">
      <c r="A279" s="9"/>
      <c r="B279" s="9"/>
      <c r="C279" s="9"/>
    </row>
    <row r="280" spans="1:3" ht="15.75" customHeight="1">
      <c r="A280" s="9"/>
      <c r="B280" s="9"/>
      <c r="C280" s="9"/>
    </row>
    <row r="281" spans="1:3" ht="15.75" customHeight="1">
      <c r="A281" s="9"/>
      <c r="B281" s="9"/>
      <c r="C281" s="9"/>
    </row>
    <row r="282" spans="1:3" ht="15.75" customHeight="1">
      <c r="A282" s="9"/>
      <c r="B282" s="9"/>
      <c r="C282" s="9"/>
    </row>
    <row r="283" spans="1:3" ht="15.75" customHeight="1">
      <c r="A283" s="9"/>
      <c r="B283" s="9"/>
      <c r="C283" s="9"/>
    </row>
    <row r="284" spans="1:3" ht="15.75" customHeight="1">
      <c r="A284" s="9"/>
      <c r="B284" s="9"/>
      <c r="C284" s="9"/>
    </row>
    <row r="285" spans="1:3" ht="15.75" customHeight="1">
      <c r="A285" s="9"/>
      <c r="B285" s="9"/>
      <c r="C285" s="9"/>
    </row>
    <row r="286" spans="1:3" ht="15.75" customHeight="1">
      <c r="A286" s="9"/>
      <c r="B286" s="9"/>
      <c r="C286" s="9"/>
    </row>
    <row r="287" spans="1:3" ht="15.75" customHeight="1">
      <c r="A287" s="9"/>
      <c r="B287" s="9"/>
      <c r="C287" s="9"/>
    </row>
    <row r="288" spans="1:3" ht="15.75" customHeight="1">
      <c r="A288" s="9"/>
      <c r="B288" s="9"/>
      <c r="C288" s="9"/>
    </row>
    <row r="289" spans="1:3" ht="15.75" customHeight="1">
      <c r="A289" s="9"/>
      <c r="B289" s="9"/>
      <c r="C289" s="9"/>
    </row>
    <row r="290" spans="1:3" ht="15.75" customHeight="1">
      <c r="A290" s="9"/>
      <c r="B290" s="9"/>
      <c r="C290" s="9"/>
    </row>
    <row r="291" spans="1:3" ht="15.75" customHeight="1">
      <c r="A291" s="9"/>
      <c r="B291" s="9"/>
      <c r="C291" s="9"/>
    </row>
    <row r="292" spans="1:3" ht="15.75" customHeight="1">
      <c r="A292" s="9"/>
      <c r="B292" s="9"/>
      <c r="C292" s="9"/>
    </row>
    <row r="293" spans="1:3" ht="15.75" customHeight="1">
      <c r="A293" s="9"/>
      <c r="B293" s="9"/>
      <c r="C293" s="9"/>
    </row>
    <row r="294" spans="1:3" ht="15.75" customHeight="1">
      <c r="A294" s="9"/>
      <c r="B294" s="9"/>
      <c r="C294" s="9"/>
    </row>
    <row r="295" spans="1:3" ht="15.75" customHeight="1">
      <c r="A295" s="9"/>
      <c r="B295" s="9"/>
      <c r="C295" s="9"/>
    </row>
    <row r="296" spans="1:3" ht="15.75" customHeight="1">
      <c r="A296" s="9"/>
      <c r="B296" s="9"/>
      <c r="C296" s="9"/>
    </row>
    <row r="297" spans="1:3" ht="15.75" customHeight="1">
      <c r="A297" s="9"/>
      <c r="B297" s="9"/>
      <c r="C297" s="9"/>
    </row>
    <row r="298" spans="1:3" ht="15.75" customHeight="1">
      <c r="A298" s="9"/>
      <c r="B298" s="9"/>
      <c r="C298" s="9"/>
    </row>
    <row r="299" spans="1:3" ht="15.75" customHeight="1">
      <c r="A299" s="9"/>
      <c r="B299" s="9"/>
      <c r="C299" s="9"/>
    </row>
    <row r="300" spans="1:3" ht="15.75" customHeight="1">
      <c r="A300" s="9"/>
      <c r="B300" s="9"/>
      <c r="C300" s="9"/>
    </row>
    <row r="301" spans="1:3" ht="15.75" customHeight="1">
      <c r="A301" s="9"/>
      <c r="B301" s="9"/>
      <c r="C301" s="9"/>
    </row>
    <row r="302" spans="1:3" ht="15.75" customHeight="1">
      <c r="A302" s="9"/>
      <c r="B302" s="9"/>
      <c r="C302" s="9"/>
    </row>
    <row r="303" spans="1:3" ht="15.75" customHeight="1">
      <c r="A303" s="9"/>
      <c r="B303" s="9"/>
      <c r="C303" s="9"/>
    </row>
    <row r="304" spans="1:3" ht="15.75" customHeight="1">
      <c r="A304" s="9"/>
      <c r="B304" s="9"/>
      <c r="C304" s="9"/>
    </row>
    <row r="305" spans="1:3" ht="15.75" customHeight="1">
      <c r="A305" s="9"/>
      <c r="B305" s="9"/>
      <c r="C305" s="9"/>
    </row>
    <row r="306" spans="1:3" ht="15.75" customHeight="1">
      <c r="A306" s="9"/>
      <c r="B306" s="9"/>
      <c r="C306" s="9"/>
    </row>
    <row r="307" spans="1:3" ht="15.75" customHeight="1">
      <c r="A307" s="9"/>
      <c r="B307" s="9"/>
      <c r="C307" s="9"/>
    </row>
    <row r="308" spans="1:3" ht="15.75" customHeight="1">
      <c r="A308" s="9"/>
      <c r="B308" s="9"/>
      <c r="C308" s="9"/>
    </row>
    <row r="309" spans="1:3" ht="15.75" customHeight="1">
      <c r="A309" s="9"/>
      <c r="B309" s="9"/>
      <c r="C309" s="9"/>
    </row>
    <row r="310" spans="1:3" ht="15.75" customHeight="1">
      <c r="A310" s="9"/>
      <c r="B310" s="9"/>
      <c r="C310" s="9"/>
    </row>
    <row r="311" spans="1:3" ht="15.75" customHeight="1">
      <c r="A311" s="9"/>
      <c r="B311" s="9"/>
      <c r="C311" s="9"/>
    </row>
    <row r="312" spans="1:3" ht="15.75" customHeight="1">
      <c r="A312" s="9"/>
      <c r="B312" s="9"/>
      <c r="C312" s="9"/>
    </row>
    <row r="313" spans="1:3" ht="15.75" customHeight="1">
      <c r="A313" s="9"/>
      <c r="B313" s="9"/>
      <c r="C313" s="9"/>
    </row>
    <row r="314" spans="1:3" ht="15.75" customHeight="1">
      <c r="A314" s="9"/>
      <c r="B314" s="9"/>
      <c r="C314" s="9"/>
    </row>
    <row r="315" spans="1:3" ht="15.75" customHeight="1">
      <c r="A315" s="9"/>
      <c r="B315" s="9"/>
      <c r="C315" s="9"/>
    </row>
    <row r="316" spans="1:3" ht="15.75" customHeight="1">
      <c r="A316" s="9"/>
      <c r="B316" s="9"/>
      <c r="C316" s="9"/>
    </row>
    <row r="317" spans="1:3" ht="15.75" customHeight="1">
      <c r="A317" s="9"/>
      <c r="B317" s="9"/>
      <c r="C317" s="9"/>
    </row>
    <row r="318" spans="1:3" ht="15.75" customHeight="1">
      <c r="A318" s="9"/>
      <c r="B318" s="9"/>
      <c r="C318" s="9"/>
    </row>
    <row r="319" spans="1:3" ht="15.75" customHeight="1">
      <c r="A319" s="9"/>
      <c r="B319" s="9"/>
      <c r="C319" s="9"/>
    </row>
    <row r="320" spans="1:3" ht="15.75" customHeight="1">
      <c r="A320" s="9"/>
      <c r="B320" s="9"/>
      <c r="C320" s="9"/>
    </row>
    <row r="321" spans="1:3" ht="15.75" customHeight="1">
      <c r="A321" s="9"/>
      <c r="B321" s="9"/>
      <c r="C321" s="9"/>
    </row>
    <row r="322" spans="1:3" ht="15.75" customHeight="1">
      <c r="A322" s="9"/>
      <c r="B322" s="9"/>
      <c r="C322" s="9"/>
    </row>
    <row r="323" spans="1:3" ht="15.75" customHeight="1">
      <c r="A323" s="9"/>
      <c r="B323" s="9"/>
      <c r="C323" s="9"/>
    </row>
    <row r="324" spans="1:3" ht="15.75" customHeight="1">
      <c r="A324" s="9"/>
      <c r="B324" s="9"/>
      <c r="C324" s="9"/>
    </row>
    <row r="325" spans="1:3" ht="15.75" customHeight="1">
      <c r="A325" s="9"/>
      <c r="B325" s="9"/>
      <c r="C325" s="9"/>
    </row>
    <row r="326" spans="1:3" ht="15.75" customHeight="1">
      <c r="A326" s="9"/>
      <c r="B326" s="9"/>
      <c r="C326" s="9"/>
    </row>
    <row r="327" spans="1:3" ht="15.75" customHeight="1">
      <c r="A327" s="9"/>
      <c r="B327" s="9"/>
      <c r="C327" s="9"/>
    </row>
    <row r="328" spans="1:3" ht="15.75" customHeight="1">
      <c r="A328" s="9"/>
      <c r="B328" s="9"/>
      <c r="C328" s="9"/>
    </row>
    <row r="329" spans="1:3" ht="15.75" customHeight="1">
      <c r="A329" s="9"/>
      <c r="B329" s="9"/>
      <c r="C329" s="9"/>
    </row>
    <row r="330" spans="1:3" ht="15.75" customHeight="1">
      <c r="A330" s="9"/>
      <c r="B330" s="9"/>
      <c r="C330" s="9"/>
    </row>
    <row r="331" spans="1:3" ht="15.75" customHeight="1">
      <c r="A331" s="9"/>
      <c r="B331" s="9"/>
      <c r="C331" s="9"/>
    </row>
    <row r="332" spans="1:3" ht="15.75" customHeight="1">
      <c r="A332" s="9"/>
      <c r="B332" s="9"/>
      <c r="C332" s="9"/>
    </row>
    <row r="333" spans="1:3" ht="15.75" customHeight="1">
      <c r="A333" s="9"/>
      <c r="B333" s="9"/>
      <c r="C333" s="9"/>
    </row>
    <row r="334" spans="1:3" ht="15.75" customHeight="1">
      <c r="A334" s="9"/>
      <c r="B334" s="9"/>
      <c r="C334" s="9"/>
    </row>
    <row r="335" spans="1:3" ht="15.75" customHeight="1">
      <c r="A335" s="9"/>
      <c r="B335" s="9"/>
      <c r="C335" s="9"/>
    </row>
    <row r="336" spans="1:3" ht="15.75" customHeight="1">
      <c r="A336" s="9"/>
      <c r="B336" s="9"/>
      <c r="C336" s="9"/>
    </row>
    <row r="337" spans="1:3" ht="15.75" customHeight="1">
      <c r="A337" s="9"/>
      <c r="B337" s="9"/>
      <c r="C337" s="9"/>
    </row>
    <row r="338" spans="1:3" ht="15.75" customHeight="1">
      <c r="A338" s="9"/>
      <c r="B338" s="9"/>
      <c r="C338" s="9"/>
    </row>
    <row r="339" spans="1:3" ht="15.75" customHeight="1">
      <c r="A339" s="9"/>
      <c r="B339" s="9"/>
      <c r="C339" s="9"/>
    </row>
    <row r="340" spans="1:3" ht="15.75" customHeight="1">
      <c r="A340" s="9"/>
      <c r="B340" s="9"/>
      <c r="C340" s="9"/>
    </row>
    <row r="341" spans="1:3" ht="15.75" customHeight="1">
      <c r="A341" s="9"/>
      <c r="B341" s="9"/>
      <c r="C341" s="9"/>
    </row>
    <row r="342" spans="1:3" ht="15.75" customHeight="1">
      <c r="A342" s="9"/>
      <c r="B342" s="9"/>
      <c r="C342" s="9"/>
    </row>
    <row r="343" spans="1:3" ht="15.75" customHeight="1">
      <c r="A343" s="9"/>
      <c r="B343" s="9"/>
      <c r="C343" s="9"/>
    </row>
    <row r="344" spans="1:3" ht="15.75" customHeight="1">
      <c r="A344" s="9"/>
      <c r="B344" s="9"/>
      <c r="C344" s="9"/>
    </row>
    <row r="345" spans="1:3" ht="15.75" customHeight="1">
      <c r="A345" s="9"/>
      <c r="B345" s="9"/>
      <c r="C345" s="9"/>
    </row>
    <row r="346" spans="1:3" ht="15.75" customHeight="1">
      <c r="A346" s="9"/>
      <c r="B346" s="9"/>
      <c r="C346" s="9"/>
    </row>
    <row r="347" spans="1:3" ht="15.75" customHeight="1">
      <c r="A347" s="9"/>
      <c r="B347" s="9"/>
      <c r="C347" s="9"/>
    </row>
    <row r="348" spans="1:3" ht="15.75" customHeight="1">
      <c r="A348" s="9"/>
      <c r="B348" s="9"/>
      <c r="C348" s="9"/>
    </row>
    <row r="349" spans="1:3" ht="15.75" customHeight="1">
      <c r="A349" s="9"/>
      <c r="B349" s="9"/>
      <c r="C349" s="9"/>
    </row>
    <row r="350" spans="1:3" ht="15.75" customHeight="1">
      <c r="A350" s="9"/>
      <c r="B350" s="9"/>
      <c r="C350" s="9"/>
    </row>
    <row r="351" spans="1:3" ht="15.75" customHeight="1">
      <c r="A351" s="9"/>
      <c r="B351" s="9"/>
      <c r="C351" s="9"/>
    </row>
    <row r="352" spans="1:3" ht="15.75" customHeight="1">
      <c r="A352" s="9"/>
      <c r="B352" s="9"/>
      <c r="C352" s="9"/>
    </row>
    <row r="353" spans="1:3" ht="15.75" customHeight="1">
      <c r="A353" s="9"/>
      <c r="B353" s="9"/>
      <c r="C353" s="9"/>
    </row>
    <row r="354" spans="1:3" ht="15.75" customHeight="1">
      <c r="A354" s="9"/>
      <c r="B354" s="9"/>
      <c r="C354" s="9"/>
    </row>
    <row r="355" spans="1:3" ht="15.75" customHeight="1">
      <c r="A355" s="9"/>
      <c r="B355" s="9"/>
      <c r="C355" s="9"/>
    </row>
    <row r="356" spans="1:3" ht="15.75" customHeight="1">
      <c r="A356" s="9"/>
      <c r="B356" s="9"/>
      <c r="C356" s="9"/>
    </row>
    <row r="357" spans="1:3" ht="15.75" customHeight="1">
      <c r="A357" s="9"/>
      <c r="B357" s="9"/>
      <c r="C357" s="9"/>
    </row>
    <row r="358" spans="1:3" ht="15.75" customHeight="1">
      <c r="A358" s="9"/>
      <c r="B358" s="9"/>
      <c r="C358" s="9"/>
    </row>
    <row r="359" spans="1:3" ht="15.75" customHeight="1">
      <c r="A359" s="9"/>
      <c r="B359" s="9"/>
      <c r="C359" s="9"/>
    </row>
    <row r="360" spans="1:3" ht="15.75" customHeight="1">
      <c r="A360" s="9"/>
      <c r="B360" s="9"/>
      <c r="C360" s="9"/>
    </row>
    <row r="361" spans="1:3" ht="15.75" customHeight="1">
      <c r="A361" s="9"/>
      <c r="B361" s="9"/>
      <c r="C361" s="9"/>
    </row>
    <row r="362" spans="1:3" ht="15.75" customHeight="1">
      <c r="A362" s="9"/>
      <c r="B362" s="9"/>
      <c r="C362" s="9"/>
    </row>
    <row r="363" spans="1:3" ht="15.75" customHeight="1">
      <c r="A363" s="9"/>
      <c r="B363" s="9"/>
      <c r="C363" s="9"/>
    </row>
    <row r="364" spans="1:3" ht="15.75" customHeight="1">
      <c r="A364" s="9"/>
      <c r="B364" s="9"/>
      <c r="C364" s="9"/>
    </row>
    <row r="365" spans="1:3" ht="15.75" customHeight="1">
      <c r="A365" s="9"/>
      <c r="B365" s="9"/>
      <c r="C365" s="9"/>
    </row>
    <row r="366" spans="1:3" ht="15.75" customHeight="1">
      <c r="A366" s="9"/>
      <c r="B366" s="9"/>
      <c r="C366" s="9"/>
    </row>
    <row r="367" spans="1:3" ht="15.75" customHeight="1">
      <c r="A367" s="9"/>
      <c r="B367" s="9"/>
      <c r="C367" s="9"/>
    </row>
    <row r="368" spans="1:3" ht="15.75" customHeight="1">
      <c r="A368" s="9"/>
      <c r="B368" s="9"/>
      <c r="C368" s="9"/>
    </row>
    <row r="369" spans="1:3" ht="15.75" customHeight="1">
      <c r="A369" s="9"/>
      <c r="B369" s="9"/>
      <c r="C369" s="9"/>
    </row>
    <row r="370" spans="1:3" ht="15.75" customHeight="1">
      <c r="A370" s="9"/>
      <c r="B370" s="9"/>
      <c r="C370" s="9"/>
    </row>
    <row r="371" spans="1:3" ht="15.75" customHeight="1">
      <c r="A371" s="9"/>
      <c r="B371" s="9"/>
      <c r="C371" s="9"/>
    </row>
    <row r="372" spans="1:3" ht="15.75" customHeight="1">
      <c r="A372" s="9"/>
      <c r="B372" s="9"/>
      <c r="C372" s="9"/>
    </row>
    <row r="373" spans="1:3" ht="15.75" customHeight="1">
      <c r="A373" s="9"/>
      <c r="B373" s="9"/>
      <c r="C373" s="9"/>
    </row>
    <row r="374" spans="1:3" ht="15.75" customHeight="1">
      <c r="A374" s="9"/>
      <c r="B374" s="9"/>
      <c r="C374" s="9"/>
    </row>
    <row r="375" spans="1:3" ht="15.75" customHeight="1">
      <c r="A375" s="9"/>
      <c r="B375" s="9"/>
      <c r="C375" s="9"/>
    </row>
    <row r="376" spans="1:3" ht="15.75" customHeight="1">
      <c r="A376" s="9"/>
      <c r="B376" s="9"/>
      <c r="C376" s="9"/>
    </row>
    <row r="377" spans="1:3" ht="15.75" customHeight="1">
      <c r="A377" s="9"/>
      <c r="B377" s="9"/>
      <c r="C377" s="9"/>
    </row>
    <row r="378" spans="1:3" ht="15.75" customHeight="1">
      <c r="A378" s="9"/>
      <c r="B378" s="9"/>
      <c r="C378" s="9"/>
    </row>
    <row r="379" spans="1:3" ht="15.75" customHeight="1">
      <c r="A379" s="9"/>
      <c r="B379" s="9"/>
      <c r="C379" s="9"/>
    </row>
    <row r="380" spans="1:3" ht="15.75" customHeight="1">
      <c r="A380" s="9"/>
      <c r="B380" s="9"/>
      <c r="C380" s="9"/>
    </row>
    <row r="381" spans="1:3" ht="15.75" customHeight="1">
      <c r="A381" s="9"/>
      <c r="B381" s="9"/>
      <c r="C381" s="9"/>
    </row>
    <row r="382" spans="1:3" ht="15.75" customHeight="1">
      <c r="A382" s="9"/>
      <c r="B382" s="9"/>
      <c r="C382" s="9"/>
    </row>
    <row r="383" spans="1:3" ht="15.75" customHeight="1">
      <c r="A383" s="9"/>
      <c r="B383" s="9"/>
      <c r="C383" s="9"/>
    </row>
    <row r="384" spans="1:3" ht="15.75" customHeight="1">
      <c r="A384" s="9"/>
      <c r="B384" s="9"/>
      <c r="C384" s="9"/>
    </row>
    <row r="385" spans="1:3" ht="15.75" customHeight="1">
      <c r="A385" s="9"/>
      <c r="B385" s="9"/>
      <c r="C385" s="9"/>
    </row>
    <row r="386" spans="1:3" ht="15.75" customHeight="1">
      <c r="A386" s="9"/>
      <c r="B386" s="9"/>
      <c r="C386" s="9"/>
    </row>
    <row r="387" spans="1:3" ht="15.75" customHeight="1">
      <c r="A387" s="9"/>
      <c r="B387" s="9"/>
      <c r="C387" s="9"/>
    </row>
    <row r="388" spans="1:3" ht="15.75" customHeight="1">
      <c r="A388" s="9"/>
      <c r="B388" s="9"/>
      <c r="C388" s="9"/>
    </row>
    <row r="389" spans="1:3" ht="15.75" customHeight="1">
      <c r="A389" s="9"/>
      <c r="B389" s="9"/>
      <c r="C389" s="9"/>
    </row>
    <row r="390" spans="1:3" ht="15.75" customHeight="1">
      <c r="A390" s="9"/>
      <c r="B390" s="9"/>
      <c r="C390" s="9"/>
    </row>
    <row r="391" spans="1:3" ht="15.75" customHeight="1">
      <c r="A391" s="9"/>
      <c r="B391" s="9"/>
      <c r="C391" s="9"/>
    </row>
    <row r="392" spans="1:3" ht="15.75" customHeight="1">
      <c r="A392" s="9"/>
      <c r="B392" s="9"/>
      <c r="C392" s="9"/>
    </row>
    <row r="393" spans="1:3" ht="15.75" customHeight="1">
      <c r="A393" s="9"/>
      <c r="B393" s="9"/>
      <c r="C393" s="9"/>
    </row>
    <row r="394" spans="1:3" ht="15.75" customHeight="1">
      <c r="A394" s="9"/>
      <c r="B394" s="9"/>
      <c r="C394" s="9"/>
    </row>
    <row r="395" spans="1:3" ht="15.75" customHeight="1">
      <c r="A395" s="9"/>
      <c r="B395" s="9"/>
      <c r="C395" s="9"/>
    </row>
    <row r="396" spans="1:3" ht="15.75" customHeight="1">
      <c r="A396" s="9"/>
      <c r="B396" s="9"/>
      <c r="C396" s="9"/>
    </row>
    <row r="397" spans="1:3" ht="15.75" customHeight="1">
      <c r="A397" s="9"/>
      <c r="B397" s="9"/>
      <c r="C397" s="9"/>
    </row>
    <row r="398" spans="1:3" ht="15.75" customHeight="1">
      <c r="A398" s="9"/>
      <c r="B398" s="9"/>
      <c r="C398" s="9"/>
    </row>
    <row r="399" spans="1:3" ht="15.75" customHeight="1">
      <c r="A399" s="9"/>
      <c r="B399" s="9"/>
      <c r="C399" s="9"/>
    </row>
    <row r="400" spans="1:3" ht="15.75" customHeight="1">
      <c r="A400" s="9"/>
      <c r="B400" s="9"/>
      <c r="C400" s="9"/>
    </row>
    <row r="401" spans="1:3" ht="15.75" customHeight="1">
      <c r="A401" s="9"/>
      <c r="B401" s="9"/>
      <c r="C401" s="9"/>
    </row>
    <row r="402" spans="1:3" ht="15.75" customHeight="1">
      <c r="A402" s="9"/>
      <c r="B402" s="9"/>
      <c r="C402" s="9"/>
    </row>
    <row r="403" spans="1:3" ht="15.75" customHeight="1">
      <c r="A403" s="9"/>
      <c r="B403" s="9"/>
      <c r="C403" s="9"/>
    </row>
    <row r="404" spans="1:3" ht="15.75" customHeight="1">
      <c r="A404" s="9"/>
      <c r="B404" s="9"/>
      <c r="C404" s="9"/>
    </row>
    <row r="405" spans="1:3" ht="15.75" customHeight="1">
      <c r="A405" s="9"/>
      <c r="B405" s="9"/>
      <c r="C405" s="9"/>
    </row>
    <row r="406" spans="1:3" ht="15.75" customHeight="1">
      <c r="A406" s="9"/>
      <c r="B406" s="9"/>
      <c r="C406" s="9"/>
    </row>
    <row r="407" spans="1:3" ht="15.75" customHeight="1">
      <c r="A407" s="9"/>
      <c r="B407" s="9"/>
      <c r="C407" s="9"/>
    </row>
    <row r="408" spans="1:3" ht="15.75" customHeight="1">
      <c r="A408" s="9"/>
      <c r="B408" s="9"/>
      <c r="C408" s="9"/>
    </row>
    <row r="409" spans="1:3" ht="15.75" customHeight="1">
      <c r="A409" s="9"/>
      <c r="B409" s="9"/>
      <c r="C409" s="9"/>
    </row>
    <row r="410" spans="1:3" ht="15.75" customHeight="1">
      <c r="A410" s="9"/>
      <c r="B410" s="9"/>
      <c r="C410" s="9"/>
    </row>
    <row r="411" spans="1:3" ht="15.75" customHeight="1">
      <c r="A411" s="9"/>
      <c r="B411" s="9"/>
      <c r="C411" s="9"/>
    </row>
    <row r="412" spans="1:3" ht="15.75" customHeight="1">
      <c r="A412" s="9"/>
      <c r="B412" s="9"/>
      <c r="C412" s="9"/>
    </row>
    <row r="413" spans="1:3" ht="15.75" customHeight="1">
      <c r="A413" s="9"/>
      <c r="B413" s="9"/>
      <c r="C413" s="9"/>
    </row>
    <row r="414" spans="1:3" ht="15.75" customHeight="1">
      <c r="A414" s="9"/>
      <c r="B414" s="9"/>
      <c r="C414" s="9"/>
    </row>
    <row r="415" spans="1:3" ht="15.75" customHeight="1">
      <c r="A415" s="9"/>
      <c r="B415" s="9"/>
      <c r="C415" s="9"/>
    </row>
    <row r="416" spans="1:3" ht="15.75" customHeight="1">
      <c r="A416" s="9"/>
      <c r="B416" s="9"/>
      <c r="C416" s="9"/>
    </row>
    <row r="417" spans="1:3" ht="15.75" customHeight="1">
      <c r="A417" s="9"/>
      <c r="B417" s="9"/>
      <c r="C417" s="9"/>
    </row>
    <row r="418" spans="1:3" ht="15.75" customHeight="1">
      <c r="A418" s="9"/>
      <c r="B418" s="9"/>
      <c r="C418" s="9"/>
    </row>
    <row r="419" spans="1:3" ht="15.75" customHeight="1">
      <c r="A419" s="9"/>
      <c r="B419" s="9"/>
      <c r="C419" s="9"/>
    </row>
    <row r="420" spans="1:3" ht="15.75" customHeight="1">
      <c r="A420" s="9"/>
      <c r="B420" s="9"/>
      <c r="C420" s="9"/>
    </row>
    <row r="421" spans="1:3" ht="15.75" customHeight="1">
      <c r="A421" s="9"/>
      <c r="B421" s="9"/>
      <c r="C421" s="9"/>
    </row>
    <row r="422" spans="1:3" ht="15.75" customHeight="1">
      <c r="A422" s="9"/>
      <c r="B422" s="9"/>
      <c r="C422" s="9"/>
    </row>
    <row r="423" spans="1:3" ht="15.75" customHeight="1">
      <c r="A423" s="9"/>
      <c r="B423" s="9"/>
      <c r="C423" s="9"/>
    </row>
    <row r="424" spans="1:3" ht="15.75" customHeight="1">
      <c r="A424" s="9"/>
      <c r="B424" s="9"/>
      <c r="C424" s="9"/>
    </row>
    <row r="425" spans="1:3" ht="15.75" customHeight="1">
      <c r="A425" s="9"/>
      <c r="B425" s="9"/>
      <c r="C425" s="9"/>
    </row>
    <row r="426" spans="1:3" ht="15.75" customHeight="1">
      <c r="A426" s="9"/>
      <c r="B426" s="9"/>
      <c r="C426" s="9"/>
    </row>
    <row r="427" spans="1:3" ht="15.75" customHeight="1">
      <c r="A427" s="9"/>
      <c r="B427" s="9"/>
      <c r="C427" s="9"/>
    </row>
    <row r="428" spans="1:3" ht="15.75" customHeight="1">
      <c r="A428" s="9"/>
      <c r="B428" s="9"/>
      <c r="C428" s="9"/>
    </row>
    <row r="429" spans="1:3" ht="15.75" customHeight="1">
      <c r="A429" s="9"/>
      <c r="B429" s="9"/>
      <c r="C429" s="9"/>
    </row>
    <row r="430" spans="1:3" ht="15.75" customHeight="1">
      <c r="A430" s="9"/>
      <c r="B430" s="9"/>
      <c r="C430" s="9"/>
    </row>
    <row r="431" spans="1:3" ht="15.75" customHeight="1">
      <c r="A431" s="9"/>
      <c r="B431" s="9"/>
      <c r="C431" s="9"/>
    </row>
    <row r="432" spans="1:3" ht="15.75" customHeight="1">
      <c r="A432" s="9"/>
      <c r="B432" s="9"/>
      <c r="C432" s="9"/>
    </row>
    <row r="433" spans="1:3" ht="15.75" customHeight="1">
      <c r="A433" s="9"/>
      <c r="B433" s="9"/>
      <c r="C433" s="9"/>
    </row>
    <row r="434" spans="1:3" ht="15.75" customHeight="1">
      <c r="A434" s="9"/>
      <c r="B434" s="9"/>
      <c r="C434" s="9"/>
    </row>
    <row r="435" spans="1:3" ht="15.75" customHeight="1">
      <c r="A435" s="9"/>
      <c r="B435" s="9"/>
      <c r="C435" s="9"/>
    </row>
    <row r="436" spans="1:3" ht="15.75" customHeight="1">
      <c r="A436" s="9"/>
      <c r="B436" s="9"/>
      <c r="C436" s="9"/>
    </row>
    <row r="437" spans="1:3" ht="15.75" customHeight="1">
      <c r="A437" s="9"/>
      <c r="B437" s="9"/>
      <c r="C437" s="9"/>
    </row>
    <row r="438" spans="1:3" ht="15.75" customHeight="1">
      <c r="A438" s="9"/>
      <c r="B438" s="9"/>
      <c r="C438" s="9"/>
    </row>
    <row r="439" spans="1:3" ht="15.75" customHeight="1">
      <c r="A439" s="9"/>
      <c r="B439" s="9"/>
      <c r="C439" s="9"/>
    </row>
    <row r="440" spans="1:3" ht="15.75" customHeight="1">
      <c r="A440" s="9"/>
      <c r="B440" s="9"/>
      <c r="C440" s="9"/>
    </row>
    <row r="441" spans="1:3" ht="15.75" customHeight="1">
      <c r="A441" s="9"/>
      <c r="B441" s="9"/>
      <c r="C441" s="9"/>
    </row>
    <row r="442" spans="1:3" ht="15.75" customHeight="1">
      <c r="A442" s="9"/>
      <c r="B442" s="9"/>
      <c r="C442" s="9"/>
    </row>
    <row r="443" spans="1:3" ht="15.75" customHeight="1">
      <c r="A443" s="9"/>
      <c r="B443" s="9"/>
      <c r="C443" s="9"/>
    </row>
    <row r="444" spans="1:3" ht="15.75" customHeight="1">
      <c r="A444" s="9"/>
      <c r="B444" s="9"/>
      <c r="C444" s="9"/>
    </row>
    <row r="445" spans="1:3" ht="15.75" customHeight="1">
      <c r="A445" s="9"/>
      <c r="B445" s="9"/>
      <c r="C445" s="9"/>
    </row>
    <row r="446" spans="1:3" ht="15.75" customHeight="1">
      <c r="A446" s="9"/>
      <c r="B446" s="9"/>
      <c r="C446" s="9"/>
    </row>
    <row r="447" spans="1:3" ht="15.75" customHeight="1">
      <c r="A447" s="9"/>
      <c r="B447" s="9"/>
      <c r="C447" s="9"/>
    </row>
    <row r="448" spans="1:3" ht="15.75" customHeight="1">
      <c r="A448" s="9"/>
      <c r="B448" s="9"/>
      <c r="C448" s="9"/>
    </row>
    <row r="449" spans="1:3" ht="15.75" customHeight="1">
      <c r="A449" s="9"/>
      <c r="B449" s="9"/>
      <c r="C449" s="9"/>
    </row>
    <row r="450" spans="1:3" ht="15.75" customHeight="1">
      <c r="A450" s="9"/>
      <c r="B450" s="9"/>
      <c r="C450" s="9"/>
    </row>
    <row r="451" spans="1:3" ht="15.75" customHeight="1">
      <c r="A451" s="9"/>
      <c r="B451" s="9"/>
      <c r="C451" s="9"/>
    </row>
    <row r="452" spans="1:3" ht="15.75" customHeight="1">
      <c r="A452" s="9"/>
      <c r="B452" s="9"/>
      <c r="C452" s="9"/>
    </row>
    <row r="453" spans="1:3" ht="15.75" customHeight="1">
      <c r="A453" s="9"/>
      <c r="B453" s="9"/>
      <c r="C453" s="9"/>
    </row>
    <row r="454" spans="1:3" ht="15.75" customHeight="1">
      <c r="A454" s="9"/>
      <c r="B454" s="9"/>
      <c r="C454" s="9"/>
    </row>
    <row r="455" spans="1:3" ht="15.75" customHeight="1">
      <c r="A455" s="9"/>
      <c r="B455" s="9"/>
      <c r="C455" s="9"/>
    </row>
    <row r="456" spans="1:3" ht="15.75" customHeight="1">
      <c r="A456" s="9"/>
      <c r="B456" s="9"/>
      <c r="C456" s="9"/>
    </row>
    <row r="457" spans="1:3" ht="15.75" customHeight="1">
      <c r="A457" s="9"/>
      <c r="B457" s="9"/>
      <c r="C457" s="9"/>
    </row>
    <row r="458" spans="1:3" ht="15.75" customHeight="1">
      <c r="A458" s="9"/>
      <c r="B458" s="9"/>
      <c r="C458" s="9"/>
    </row>
    <row r="459" spans="1:3" ht="15.75" customHeight="1">
      <c r="A459" s="9"/>
      <c r="B459" s="9"/>
      <c r="C459" s="9"/>
    </row>
    <row r="460" spans="1:3" ht="15.75" customHeight="1">
      <c r="A460" s="9"/>
      <c r="B460" s="9"/>
      <c r="C460" s="9"/>
    </row>
    <row r="461" spans="1:3" ht="15.75" customHeight="1">
      <c r="A461" s="9"/>
      <c r="B461" s="9"/>
      <c r="C461" s="9"/>
    </row>
    <row r="462" spans="1:3" ht="15.75" customHeight="1">
      <c r="A462" s="9"/>
      <c r="B462" s="9"/>
      <c r="C462" s="9"/>
    </row>
    <row r="463" spans="1:3" ht="15.75" customHeight="1">
      <c r="A463" s="9"/>
      <c r="B463" s="9"/>
      <c r="C463" s="9"/>
    </row>
    <row r="464" spans="1:3" ht="15.75" customHeight="1">
      <c r="A464" s="9"/>
      <c r="B464" s="9"/>
      <c r="C464" s="9"/>
    </row>
    <row r="465" spans="1:3" ht="15.75" customHeight="1">
      <c r="A465" s="9"/>
      <c r="B465" s="9"/>
      <c r="C465" s="9"/>
    </row>
    <row r="466" spans="1:3" ht="15.75" customHeight="1">
      <c r="A466" s="9"/>
      <c r="B466" s="9"/>
      <c r="C466" s="9"/>
    </row>
    <row r="467" spans="1:3" ht="15.75" customHeight="1"/>
    <row r="468" spans="1:3" ht="15.75" customHeight="1"/>
    <row r="469" spans="1:3" ht="15.75" customHeight="1"/>
    <row r="470" spans="1:3" ht="15.75" customHeight="1"/>
    <row r="471" spans="1:3" ht="15.75" customHeight="1"/>
    <row r="472" spans="1:3" ht="15.75" customHeight="1"/>
    <row r="473" spans="1:3" ht="15.75" customHeight="1"/>
    <row r="474" spans="1:3" ht="15.75" customHeight="1"/>
    <row r="475" spans="1:3" ht="15.75" customHeight="1"/>
    <row r="476" spans="1:3" ht="15.75" customHeight="1"/>
    <row r="477" spans="1:3" ht="15.75" customHeight="1"/>
    <row r="478" spans="1:3" ht="15.75" customHeight="1"/>
    <row r="479" spans="1:3" ht="15.75" customHeight="1"/>
    <row r="480" spans="1:3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3"/>
  <sheetViews>
    <sheetView workbookViewId="0"/>
  </sheetViews>
  <sheetFormatPr defaultColWidth="12.5703125" defaultRowHeight="15" customHeight="1"/>
  <cols>
    <col min="2" max="2" width="17.42578125" customWidth="1"/>
    <col min="3" max="3" width="18.140625" customWidth="1"/>
  </cols>
  <sheetData>
    <row r="1" spans="1:7" ht="15.75">
      <c r="A1" s="24"/>
    </row>
    <row r="3" spans="1:7" ht="18">
      <c r="B3" s="3" t="s">
        <v>0</v>
      </c>
      <c r="C3" s="16" t="s">
        <v>543</v>
      </c>
    </row>
    <row r="4" spans="1:7" ht="15" customHeight="1">
      <c r="B4" s="4" t="s">
        <v>7</v>
      </c>
      <c r="C4" s="4">
        <v>109269.52099999999</v>
      </c>
    </row>
    <row r="5" spans="1:7" ht="15" customHeight="1">
      <c r="B5" s="4" t="s">
        <v>8</v>
      </c>
      <c r="C5" s="4">
        <v>105190.686</v>
      </c>
    </row>
    <row r="6" spans="1:7" ht="15" customHeight="1">
      <c r="B6" s="4" t="s">
        <v>9</v>
      </c>
      <c r="C6" s="4">
        <v>94394.510699999999</v>
      </c>
    </row>
    <row r="7" spans="1:7" ht="15" customHeight="1">
      <c r="B7" s="4" t="s">
        <v>10</v>
      </c>
      <c r="C7" s="4">
        <v>88701.468999999997</v>
      </c>
    </row>
    <row r="8" spans="1:7" ht="15" customHeight="1">
      <c r="B8" s="4" t="s">
        <v>11</v>
      </c>
      <c r="C8" s="4">
        <v>76657.248900000006</v>
      </c>
    </row>
    <row r="9" spans="1:7" ht="15" customHeight="1">
      <c r="B9" s="4" t="s">
        <v>127</v>
      </c>
      <c r="C9" s="4">
        <v>951.23237900000004</v>
      </c>
    </row>
    <row r="10" spans="1:7" ht="15" customHeight="1">
      <c r="B10" s="4" t="s">
        <v>128</v>
      </c>
      <c r="C10" s="4">
        <v>827.33084299999996</v>
      </c>
    </row>
    <row r="11" spans="1:7" ht="15" customHeight="1">
      <c r="B11" s="4" t="s">
        <v>129</v>
      </c>
      <c r="C11" s="4">
        <v>687.73858800000005</v>
      </c>
      <c r="G11" s="5"/>
    </row>
    <row r="12" spans="1:7" ht="15" customHeight="1">
      <c r="B12" s="4" t="s">
        <v>130</v>
      </c>
      <c r="C12" s="4">
        <v>609.74514799999997</v>
      </c>
    </row>
    <row r="13" spans="1:7" ht="15" customHeight="1">
      <c r="B13" s="4" t="s">
        <v>131</v>
      </c>
      <c r="C13" s="4">
        <v>578.25166400000001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A1000"/>
  <sheetViews>
    <sheetView workbookViewId="0"/>
  </sheetViews>
  <sheetFormatPr defaultColWidth="12.5703125" defaultRowHeight="15" customHeight="1"/>
  <cols>
    <col min="1" max="6" width="8.57031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P2" sqref="P2"/>
    </sheetView>
  </sheetViews>
  <sheetFormatPr defaultColWidth="12.5703125" defaultRowHeight="15" customHeight="1"/>
  <cols>
    <col min="1" max="6" width="8.5703125" customWidth="1"/>
  </cols>
  <sheetData>
    <row r="1" spans="1:26" ht="2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2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2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2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2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2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2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2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2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2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2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2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2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2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2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2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2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2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2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F3:G1000"/>
  <sheetViews>
    <sheetView tabSelected="1" workbookViewId="0"/>
  </sheetViews>
  <sheetFormatPr defaultColWidth="12.5703125" defaultRowHeight="15" customHeight="1"/>
  <cols>
    <col min="1" max="1" width="16" customWidth="1"/>
    <col min="2" max="2" width="17.140625" customWidth="1"/>
    <col min="3" max="5" width="8.5703125" customWidth="1"/>
    <col min="6" max="6" width="16" customWidth="1"/>
    <col min="7" max="7" width="17.140625" customWidth="1"/>
  </cols>
  <sheetData>
    <row r="3" spans="6:7" ht="24.75">
      <c r="F3" s="26" t="s">
        <v>544</v>
      </c>
      <c r="G3" s="26" t="s">
        <v>545</v>
      </c>
    </row>
    <row r="4" spans="6:7" ht="20.25">
      <c r="F4" s="5" t="s">
        <v>546</v>
      </c>
      <c r="G4" s="5">
        <f>AVERAGEIF('Final Sheet'!E2:E126,"&lt;60",'Final Sheet'!B2:B126)</f>
        <v>10300.160770914283</v>
      </c>
    </row>
    <row r="5" spans="6:7" ht="20.25">
      <c r="F5" s="5" t="s">
        <v>547</v>
      </c>
      <c r="G5" s="5">
        <f>AVERAGEIFS('Final Sheet'!B2:B126,'Final Sheet'!E2:E126,"&gt;=60",'Final Sheet'!E2:E126,"&lt;=100")</f>
        <v>17724.38549388371</v>
      </c>
    </row>
    <row r="6" spans="6:7" ht="20.25">
      <c r="F6" s="5" t="s">
        <v>548</v>
      </c>
      <c r="G6" s="5">
        <f>AVERAGEIF('Final Sheet'!E2:E126,"&gt;100",'Final Sheet'!B2:B126)</f>
        <v>23296.673114765967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Sheet</vt:lpstr>
      <vt:lpstr>Trade%GDP</vt:lpstr>
      <vt:lpstr>Electricity Consumption</vt:lpstr>
      <vt:lpstr>GDP per capita</vt:lpstr>
      <vt:lpstr>FDI%GDP</vt:lpstr>
      <vt:lpstr>Mobile Subscriptions</vt:lpstr>
      <vt:lpstr>Rich vs Poor Countries</vt:lpstr>
      <vt:lpstr>Histograms</vt:lpstr>
      <vt:lpstr>Scatterplots</vt:lpstr>
      <vt:lpstr>Bar 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K255033 Huzaifa Saqib</dc:creator>
  <cp:lastModifiedBy>K255033 Huzaifa Saqib</cp:lastModifiedBy>
  <dcterms:created xsi:type="dcterms:W3CDTF">2026-04-30T15:07:38Z</dcterms:created>
  <dcterms:modified xsi:type="dcterms:W3CDTF">2026-05-11T08:56:59Z</dcterms:modified>
</cp:coreProperties>
</file>